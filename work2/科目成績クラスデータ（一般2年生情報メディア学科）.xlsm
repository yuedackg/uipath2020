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Downloads\work2\"/>
    </mc:Choice>
  </mc:AlternateContent>
  <bookViews>
    <workbookView xWindow="0" yWindow="0" windowWidth="12630" windowHeight="10155" tabRatio="800" firstSheet="7" activeTab="10"/>
  </bookViews>
  <sheets>
    <sheet name="注意事項参考(旧フォーマット版）" sheetId="1" r:id="rId1"/>
    <sheet name="科目名 " sheetId="42" r:id="rId2"/>
    <sheet name="シートをコピーして追加→" sheetId="43" r:id="rId3"/>
    <sheet name="ITP（ストラテジー）" sheetId="45" r:id="rId4"/>
    <sheet name="ITP（テクノロジー） " sheetId="60" r:id="rId5"/>
    <sheet name="FP①" sheetId="61" r:id="rId6"/>
    <sheet name="プレゼンテーション" sheetId="62" r:id="rId7"/>
    <sheet name="集計表" sheetId="44" r:id="rId8"/>
    <sheet name="FP②" sheetId="68" r:id="rId9"/>
    <sheet name="PowerPoint" sheetId="64" r:id="rId10"/>
    <sheet name="WEBデザイン演習" sheetId="65" r:id="rId11"/>
    <sheet name="RPA演習" sheetId="66" r:id="rId12"/>
    <sheet name="キャリアプラン" sheetId="67" r:id="rId13"/>
    <sheet name="ITP（マネージメント）" sheetId="70" r:id="rId14"/>
    <sheet name="LHR" sheetId="69" r:id="rId15"/>
    <sheet name="集計表_給付奨学金" sheetId="63" r:id="rId16"/>
  </sheets>
  <definedNames>
    <definedName name="_xlnm.Print_Area" localSheetId="5">FP①!$A$1:$R$56</definedName>
    <definedName name="_xlnm.Print_Area" localSheetId="8">FP②!$A$1:$R$56</definedName>
    <definedName name="_xlnm.Print_Area" localSheetId="3">'ITP（ストラテジー）'!$A$1:$R$56</definedName>
    <definedName name="_xlnm.Print_Area" localSheetId="4">'ITP（テクノロジー） '!$A$1:$R$56</definedName>
    <definedName name="_xlnm.Print_Area" localSheetId="13">'ITP（マネージメント）'!$A$1:$R$56</definedName>
    <definedName name="_xlnm.Print_Area" localSheetId="14">LHR!$A$1:$R$56</definedName>
    <definedName name="_xlnm.Print_Area" localSheetId="9">PowerPoint!$A$1:$R$56</definedName>
    <definedName name="_xlnm.Print_Area" localSheetId="11">RPA演習!$A$1:$R$56</definedName>
    <definedName name="_xlnm.Print_Area" localSheetId="10">WEBデザイン演習!$A$1:$R$56</definedName>
    <definedName name="_xlnm.Print_Area" localSheetId="12">キャリアプラン!$A$1:$R$56</definedName>
    <definedName name="_xlnm.Print_Area" localSheetId="6">プレゼンテーション!$A$1:$R$56</definedName>
    <definedName name="_xlnm.Print_Area" localSheetId="1">'科目名 '!$A$1:$R$56</definedName>
    <definedName name="_xlnm.Print_Area" localSheetId="0">'注意事項参考(旧フォーマット版）'!$A$1:$Y$56</definedName>
  </definedNames>
  <calcPr calcId="162913" calcMode="manual"/>
</workbook>
</file>

<file path=xl/calcChain.xml><?xml version="1.0" encoding="utf-8"?>
<calcChain xmlns="http://schemas.openxmlformats.org/spreadsheetml/2006/main">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s="1"/>
  <c r="C63" i="68" l="1"/>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Q3" i="66" s="1"/>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Q5" i="65" s="1"/>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O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s="1"/>
  <c r="R14" i="68" l="1"/>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J3" i="63"/>
  <c r="K3" i="63"/>
  <c r="M3" i="63" s="1"/>
  <c r="L3" i="63"/>
  <c r="J4" i="63"/>
  <c r="K4" i="63"/>
  <c r="L4" i="63"/>
  <c r="J5" i="63"/>
  <c r="K5" i="63"/>
  <c r="M5" i="63" s="1"/>
  <c r="N5" i="63" s="1"/>
  <c r="L5" i="63"/>
  <c r="J6" i="63"/>
  <c r="M6" i="63" s="1"/>
  <c r="N6" i="63" s="1"/>
  <c r="K6" i="63"/>
  <c r="L6" i="63"/>
  <c r="J7" i="63"/>
  <c r="K7" i="63"/>
  <c r="M7" i="63" s="1"/>
  <c r="L7" i="63"/>
  <c r="J8" i="63"/>
  <c r="K8" i="63"/>
  <c r="L8" i="63"/>
  <c r="J9" i="63"/>
  <c r="K9" i="63"/>
  <c r="M9" i="63" s="1"/>
  <c r="N9" i="63" s="1"/>
  <c r="L9" i="63"/>
  <c r="J10" i="63"/>
  <c r="M10" i="63" s="1"/>
  <c r="N10" i="63" s="1"/>
  <c r="K10" i="63"/>
  <c r="L10" i="63"/>
  <c r="M4" i="63"/>
  <c r="N4" i="63" s="1"/>
  <c r="M8" i="63"/>
  <c r="N8" i="63" s="1"/>
  <c r="I4" i="63"/>
  <c r="I5" i="63"/>
  <c r="I6" i="63"/>
  <c r="I7" i="63"/>
  <c r="I8" i="63"/>
  <c r="I9" i="63"/>
  <c r="I10" i="63"/>
  <c r="I3" i="63"/>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N3" i="63"/>
  <c r="N7" i="63"/>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Q10" i="62"/>
  <c r="P10" i="62"/>
  <c r="O10" i="62"/>
  <c r="P9" i="62"/>
  <c r="O9" i="62"/>
  <c r="Q9" i="62" s="1"/>
  <c r="P8" i="62"/>
  <c r="O8" i="62"/>
  <c r="C8" i="62"/>
  <c r="Q7" i="62"/>
  <c r="P7" i="62"/>
  <c r="O7" i="62"/>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Q6" i="62"/>
  <c r="P6" i="62"/>
  <c r="O6" i="62"/>
  <c r="D6" i="62"/>
  <c r="P5" i="62"/>
  <c r="O5" i="62"/>
  <c r="D5" i="62"/>
  <c r="Q4" i="62"/>
  <c r="P4" i="62"/>
  <c r="O4" i="62"/>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Q3" i="61" s="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F2" i="44" l="1"/>
  <c r="G2" i="44" s="1"/>
  <c r="E2" i="63"/>
  <c r="J2" i="44"/>
  <c r="K2" i="44" s="1"/>
  <c r="G2" i="63"/>
  <c r="H2" i="44"/>
  <c r="I2" i="44" s="1"/>
  <c r="F2" i="63"/>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s="1"/>
  <c r="D2" i="44" l="1"/>
  <c r="E2" i="44" s="1"/>
  <c r="D2" i="63"/>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<sst xmlns="http://schemas.openxmlformats.org/spreadsheetml/2006/main" count="827" uniqueCount="136">
  <si>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</si>
  <si>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</si>
  <si>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</si>
  <si>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</si>
  <si>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</si>
  <si>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</si>
  <si>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</si>
  <si>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</si>
  <si>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</si>
  <si>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</si>
  <si>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</si>
  <si>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</si>
  <si>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</si>
  <si>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</si>
  <si>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</si>
  <si>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</si>
  <si>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</si>
  <si>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</si>
  <si>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</si>
  <si>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</si>
  <si>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</si>
  <si>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</si>
  <si>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</si>
  <si>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</si>
  <si>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</si>
  <si>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</si>
  <si>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</si>
  <si>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</si>
  <si>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</si>
  <si>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</si>
  <si>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</si>
  <si>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</si>
  <si>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</si>
  <si>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</si>
  <si>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</si>
  <si>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</si>
  <si>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</si>
  <si>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</si>
  <si>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</si>
  <si>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</si>
  <si>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</si>
  <si>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</si>
  <si>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</si>
  <si>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</si>
  <si>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</si>
  <si>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</si>
  <si>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</si>
  <si>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</si>
  <si>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</si>
  <si>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</si>
  <si>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</si>
  <si>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</si>
  <si>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</si>
  <si>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</si>
  <si>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</si>
  <si>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</si>
  <si>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</si>
  <si>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</si>
  <si>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</si>
  <si>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</si>
  <si>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</si>
  <si>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</si>
  <si>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</si>
  <si>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</si>
  <si>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</si>
  <si>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</si>
  <si>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</si>
  <si>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</si>
  <si>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</si>
  <si>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</si>
  <si>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</si>
  <si>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</si>
  <si>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</si>
  <si>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</si>
  <si>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</si>
  <si>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</si>
  <si>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</si>
  <si>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</si>
  <si>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</si>
  <si>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</si>
  <si>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</si>
  <si>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</si>
  <si>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</si>
  <si>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</si>
  <si>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</si>
  <si>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</si>
  <si>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</si>
  <si>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</si>
  <si>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</si>
  <si>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</si>
  <si>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</si>
  <si>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</si>
  <si>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</si>
  <si>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</si>
  <si>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</si>
  <si>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</si>
  <si>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</si>
  <si>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</si>
  <si>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</si>
  <si>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</si>
  <si>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</si>
  <si>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</si>
  <si>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</si>
  <si>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</si>
  <si>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</si>
  <si>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</si>
  <si>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</si>
  <si>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</si>
  <si>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</si>
  <si>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</si>
  <si>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</si>
  <si>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</si>
  <si>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</si>
  <si>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</si>
  <si>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</si>
  <si>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</si>
  <si>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</si>
  <si>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上村　昌広</t>
    <rPh sb="0" eb="2">
      <t>カミムラ</t>
    </rPh>
    <rPh sb="3" eb="4">
      <t>マサ</t>
    </rPh>
    <rPh sb="4" eb="5">
      <t>ヒロ</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</si>
  <si>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</si>
  <si>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</si>
  <si>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</si>
  <si>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</si>
  <si>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</si>
  <si>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</si>
  <si>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</si>
  <si>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</si>
  <si>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</si>
  <si>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</si>
  <si>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</si>
  <si>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</si>
  <si>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</si>
  <si>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</si>
  <si>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</si>
  <si>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</si>
  <si>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FP②</t>
    <phoneticPr fontId="3"/>
  </si>
  <si>
    <t>72020/7/1</t>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</si>
</sst>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0.0_ "/>
    <numFmt numFmtId="177" formatCode="00000"/>
    <numFmt numFmtId="178" formatCode="0;_Ѐ"/>
    <numFmt numFmtId="179" formatCode="0;_Ⰴ"/>
    <numFmt numFmtId="180" formatCode="0_);[Red]\(0\)"/>
    <numFmt numFmtId="181" formatCode="0.0%"/>
  </numFmts>
  <fonts count="45"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s>
  <fills count="6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76">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286">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13">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175" t="s">
        <v>4</v>
      </c>
      <c r="B1" s="177"/>
      <c r="C1" s="1"/>
      <c r="D1" s="215" t="s">
        <v>5</v>
      </c>
      <c r="E1" s="216" t="s">
        <v>6</v>
      </c>
      <c r="F1" s="178" t="s">
        <v>7</v>
      </c>
      <c r="G1" s="175" t="s">
        <v>8</v>
      </c>
      <c r="H1" s="177"/>
      <c r="I1" s="177"/>
      <c r="J1" s="178"/>
      <c r="K1" s="176"/>
      <c r="L1" s="175" t="s">
        <v>9</v>
      </c>
      <c r="M1" s="177"/>
      <c r="N1" s="177"/>
      <c r="O1" s="178"/>
      <c r="P1" s="176"/>
      <c r="Q1" s="175" t="s">
        <v>10</v>
      </c>
      <c r="R1" s="177"/>
      <c r="S1" s="177"/>
      <c r="T1" s="178"/>
      <c r="U1" s="176"/>
      <c r="V1" s="175" t="s">
        <v>11</v>
      </c>
      <c r="W1" s="176"/>
      <c r="X1" s="173" t="s">
        <v>12</v>
      </c>
      <c r="Y1" s="193" t="s">
        <v>13</v>
      </c>
    </row>
    <row r="2" spans="1:28" ht="40.5" customHeight="1" x14ac:dyDescent="0.15">
      <c r="A2" s="201"/>
      <c r="B2" s="202"/>
      <c r="C2" s="29">
        <v>2</v>
      </c>
      <c r="D2" s="181"/>
      <c r="E2" s="172"/>
      <c r="F2" s="217"/>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174"/>
      <c r="Y2" s="194"/>
    </row>
    <row r="3" spans="1:28" ht="15" customHeight="1" x14ac:dyDescent="0.15">
      <c r="A3" s="201" t="s">
        <v>17</v>
      </c>
      <c r="B3" s="202"/>
      <c r="C3" s="167"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201"/>
      <c r="B4" s="202"/>
      <c r="C4" s="168"/>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201"/>
      <c r="B5" s="202"/>
      <c r="C5" s="169"/>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205" t="s">
        <v>18</v>
      </c>
      <c r="B6" s="206"/>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207"/>
      <c r="B7" s="208"/>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207"/>
      <c r="B8" s="208"/>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209"/>
      <c r="B9" s="210"/>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180" t="s">
        <v>19</v>
      </c>
      <c r="B10" s="181"/>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180"/>
      <c r="B11" s="181"/>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180"/>
      <c r="B12" s="181"/>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211" t="s">
        <v>20</v>
      </c>
      <c r="B13" s="212"/>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211"/>
      <c r="B14" s="212"/>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211"/>
      <c r="B15" s="212"/>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179" t="s">
        <v>58</v>
      </c>
      <c r="B16" s="181"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180"/>
      <c r="B17" s="181"/>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180"/>
      <c r="B18" s="181"/>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180"/>
      <c r="B19" s="181"/>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180"/>
      <c r="B20" s="181" t="s">
        <v>22</v>
      </c>
      <c r="C20" s="170"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180"/>
      <c r="B21" s="181"/>
      <c r="C21" s="171"/>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180"/>
      <c r="B22" s="181"/>
      <c r="C22" s="171"/>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180"/>
      <c r="B23" s="181"/>
      <c r="C23" s="171"/>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180"/>
      <c r="B24" s="181"/>
      <c r="C24" s="171"/>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180"/>
      <c r="B25" s="181"/>
      <c r="C25" s="171"/>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180"/>
      <c r="B26" s="181"/>
      <c r="C26" s="172"/>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179" t="s">
        <v>56</v>
      </c>
      <c r="B27" s="181"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180"/>
      <c r="B28" s="181"/>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180"/>
      <c r="B29" s="181"/>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180"/>
      <c r="B30" s="181"/>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180"/>
      <c r="B31" s="181" t="s">
        <v>22</v>
      </c>
      <c r="C31" s="170"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180"/>
      <c r="B32" s="181"/>
      <c r="C32" s="171"/>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180"/>
      <c r="B33" s="181"/>
      <c r="C33" s="171"/>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180"/>
      <c r="B34" s="181"/>
      <c r="C34" s="171"/>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180"/>
      <c r="B35" s="181"/>
      <c r="C35" s="171"/>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180"/>
      <c r="B36" s="181"/>
      <c r="C36" s="171"/>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180"/>
      <c r="B37" s="181"/>
      <c r="C37" s="172"/>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179" t="s">
        <v>62</v>
      </c>
      <c r="B38" s="181"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180"/>
      <c r="B39" s="181"/>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180"/>
      <c r="B40" s="181"/>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180"/>
      <c r="B41" s="181"/>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180"/>
      <c r="B42" s="181" t="s">
        <v>22</v>
      </c>
      <c r="C42" s="170"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180"/>
      <c r="B43" s="181"/>
      <c r="C43" s="171"/>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180"/>
      <c r="B44" s="181"/>
      <c r="C44" s="171"/>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180"/>
      <c r="B45" s="181"/>
      <c r="C45" s="171"/>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180"/>
      <c r="B46" s="181"/>
      <c r="C46" s="171"/>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180"/>
      <c r="B47" s="181"/>
      <c r="C47" s="171"/>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180"/>
      <c r="B48" s="181"/>
      <c r="C48" s="172"/>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195" t="s">
        <v>63</v>
      </c>
      <c r="B49" s="182"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196"/>
      <c r="B50" s="182"/>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196"/>
      <c r="B51" s="182"/>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196"/>
      <c r="B52" s="182"/>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196"/>
      <c r="B53" s="198" t="s">
        <v>24</v>
      </c>
      <c r="C53" s="13"/>
      <c r="D53" s="222" t="s">
        <v>25</v>
      </c>
      <c r="E53" s="223"/>
      <c r="F53" s="223"/>
      <c r="G53" s="230">
        <f>SUM(G3:G52)</f>
        <v>1475</v>
      </c>
      <c r="H53" s="183"/>
      <c r="I53" s="226">
        <f>SUM(I3:I52)</f>
        <v>1310</v>
      </c>
      <c r="J53" s="65"/>
      <c r="K53" s="183"/>
      <c r="L53" s="185">
        <f>SUM(L3:L52)</f>
        <v>1024</v>
      </c>
      <c r="M53" s="233"/>
      <c r="N53" s="233">
        <f>SUM(N3:N52)</f>
        <v>1246</v>
      </c>
      <c r="O53" s="69"/>
      <c r="P53" s="231"/>
      <c r="Q53" s="42"/>
      <c r="R53" s="58"/>
      <c r="S53" s="183">
        <f>SUM(S3:S52)</f>
        <v>1485</v>
      </c>
      <c r="T53" s="73"/>
      <c r="U53" s="43"/>
      <c r="V53" s="228">
        <f>SUM(V3:V52)</f>
        <v>1348.6666666666663</v>
      </c>
      <c r="W53" s="19"/>
      <c r="X53" s="20"/>
      <c r="Y53" s="21"/>
    </row>
    <row r="54" spans="1:25" ht="12" customHeight="1" x14ac:dyDescent="0.15">
      <c r="A54" s="196"/>
      <c r="B54" s="199"/>
      <c r="C54" s="14" t="s">
        <v>28</v>
      </c>
      <c r="D54" s="224"/>
      <c r="E54" s="225"/>
      <c r="F54" s="225"/>
      <c r="G54" s="229"/>
      <c r="H54" s="184"/>
      <c r="I54" s="227"/>
      <c r="J54" s="66"/>
      <c r="K54" s="184"/>
      <c r="L54" s="186"/>
      <c r="M54" s="234"/>
      <c r="N54" s="234"/>
      <c r="O54" s="70"/>
      <c r="P54" s="232"/>
      <c r="Q54" s="44"/>
      <c r="R54" s="59"/>
      <c r="S54" s="184"/>
      <c r="T54" s="74"/>
      <c r="U54" s="45"/>
      <c r="V54" s="229"/>
      <c r="W54" s="22"/>
      <c r="X54" s="23"/>
      <c r="Y54" s="24"/>
    </row>
    <row r="55" spans="1:25" ht="12" customHeight="1" x14ac:dyDescent="0.15">
      <c r="A55" s="196"/>
      <c r="B55" s="199"/>
      <c r="C55" s="14"/>
      <c r="D55" s="218" t="s">
        <v>26</v>
      </c>
      <c r="E55" s="219"/>
      <c r="F55" s="219"/>
      <c r="G55" s="203">
        <f>AVERAGE(G3:G52)</f>
        <v>64.130434782608702</v>
      </c>
      <c r="H55" s="187"/>
      <c r="I55" s="191">
        <f>AVERAGE(I3:I52)</f>
        <v>56.956521739130437</v>
      </c>
      <c r="J55" s="67"/>
      <c r="K55" s="46"/>
      <c r="L55" s="203">
        <f>AVERAGE(L3:L52)</f>
        <v>44.521739130434781</v>
      </c>
      <c r="M55" s="189"/>
      <c r="N55" s="189">
        <f>AVERAGE(N3:N52)</f>
        <v>54.173913043478258</v>
      </c>
      <c r="O55" s="71"/>
      <c r="P55" s="47"/>
      <c r="Q55" s="48"/>
      <c r="R55" s="60"/>
      <c r="S55" s="187">
        <f>AVERAGE(S3:S52)</f>
        <v>64.565217391304344</v>
      </c>
      <c r="T55" s="75"/>
      <c r="U55" s="46"/>
      <c r="V55" s="213">
        <f>AVERAGE(V3:V52)</f>
        <v>58.637681159420275</v>
      </c>
      <c r="W55" s="16"/>
      <c r="X55" s="17"/>
      <c r="Y55" s="18"/>
    </row>
    <row r="56" spans="1:25" ht="12" customHeight="1" thickBot="1" x14ac:dyDescent="0.2">
      <c r="A56" s="197"/>
      <c r="B56" s="200"/>
      <c r="C56" s="25"/>
      <c r="D56" s="220"/>
      <c r="E56" s="221"/>
      <c r="F56" s="221"/>
      <c r="G56" s="204"/>
      <c r="H56" s="188"/>
      <c r="I56" s="192"/>
      <c r="J56" s="68"/>
      <c r="K56" s="49"/>
      <c r="L56" s="204"/>
      <c r="M56" s="190"/>
      <c r="N56" s="190"/>
      <c r="O56" s="72"/>
      <c r="P56" s="49"/>
      <c r="Q56" s="50"/>
      <c r="R56" s="61"/>
      <c r="S56" s="188"/>
      <c r="T56" s="76"/>
      <c r="U56" s="49"/>
      <c r="V56" s="214"/>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104</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238"/>
      <c r="B4" s="239"/>
      <c r="C4" s="236"/>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238"/>
      <c r="B5" s="239"/>
      <c r="C5" s="236"/>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238"/>
      <c r="B6" s="239"/>
      <c r="C6" s="236"/>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240"/>
      <c r="B7" s="241"/>
      <c r="C7" s="237"/>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238" t="s">
        <v>92</v>
      </c>
      <c r="B8" s="239"/>
      <c r="C8" s="235"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238"/>
      <c r="B9" s="239"/>
      <c r="C9" s="236"/>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238"/>
      <c r="B10" s="239"/>
      <c r="C10" s="236"/>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238" t="s">
        <v>19</v>
      </c>
      <c r="B13" s="239"/>
      <c r="C13" s="235">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242" t="s">
        <v>20</v>
      </c>
      <c r="B18" s="243"/>
      <c r="C18" s="251">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242" t="s">
        <v>91</v>
      </c>
      <c r="B23" s="243"/>
      <c r="C23" s="248">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242" t="s">
        <v>93</v>
      </c>
      <c r="B28" s="243"/>
      <c r="C28" s="248">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246"/>
      <c r="B37" s="247"/>
      <c r="C37" s="250"/>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244"/>
      <c r="B39" s="245"/>
      <c r="C39" s="249"/>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244"/>
      <c r="B40" s="245"/>
      <c r="C40" s="249"/>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244"/>
      <c r="B41" s="245"/>
      <c r="C41" s="249"/>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246"/>
      <c r="B42" s="247"/>
      <c r="C42" s="250"/>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271" t="s">
        <v>21</v>
      </c>
      <c r="B43" s="278"/>
      <c r="C43" s="248"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238"/>
      <c r="B44" s="279"/>
      <c r="C44" s="249"/>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238"/>
      <c r="B45" s="279"/>
      <c r="C45" s="249"/>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238"/>
      <c r="B46" s="279"/>
      <c r="C46" s="249"/>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238"/>
      <c r="B47" s="279"/>
      <c r="C47" s="249"/>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238"/>
      <c r="B48" s="279"/>
      <c r="C48" s="249"/>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240"/>
      <c r="B49" s="280"/>
      <c r="C49" s="250"/>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281" t="s">
        <v>24</v>
      </c>
      <c r="B50" s="282"/>
      <c r="C50" s="249"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281"/>
      <c r="B51" s="282"/>
      <c r="C51" s="249"/>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281"/>
      <c r="B52" s="282"/>
      <c r="C52" s="249"/>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281"/>
      <c r="B53" s="282"/>
      <c r="C53" s="249"/>
      <c r="D53" s="276" t="s">
        <v>25</v>
      </c>
      <c r="E53" s="276"/>
      <c r="F53" s="276"/>
      <c r="G53" s="113"/>
      <c r="H53" s="113"/>
      <c r="I53" s="113"/>
      <c r="J53" s="113"/>
      <c r="K53" s="113"/>
      <c r="L53" s="113"/>
      <c r="M53" s="113"/>
      <c r="N53" s="113"/>
      <c r="O53" s="114"/>
      <c r="P53" s="114"/>
      <c r="Q53" s="113"/>
      <c r="R53" s="115"/>
    </row>
    <row r="54" spans="1:18" ht="12" customHeight="1" x14ac:dyDescent="0.15">
      <c r="A54" s="281"/>
      <c r="B54" s="282"/>
      <c r="C54" s="249"/>
      <c r="D54" s="277"/>
      <c r="E54" s="277"/>
      <c r="F54" s="277"/>
      <c r="G54" s="116"/>
      <c r="H54" s="116"/>
      <c r="I54" s="116"/>
      <c r="J54" s="116"/>
      <c r="K54" s="116"/>
      <c r="L54" s="116"/>
      <c r="M54" s="116"/>
      <c r="N54" s="116"/>
      <c r="O54" s="116"/>
      <c r="P54" s="116"/>
      <c r="Q54" s="116"/>
      <c r="R54" s="117"/>
    </row>
    <row r="55" spans="1:18" ht="12" customHeight="1" x14ac:dyDescent="0.15">
      <c r="A55" s="281"/>
      <c r="B55" s="282"/>
      <c r="C55" s="249"/>
      <c r="D55" s="274" t="s">
        <v>26</v>
      </c>
      <c r="E55" s="274"/>
      <c r="F55" s="274"/>
      <c r="G55" s="118"/>
      <c r="H55" s="118"/>
      <c r="I55" s="118"/>
      <c r="J55" s="118"/>
      <c r="K55" s="118"/>
      <c r="L55" s="118"/>
      <c r="M55" s="118"/>
      <c r="N55" s="118"/>
      <c r="O55" s="114"/>
      <c r="P55" s="114"/>
      <c r="Q55" s="118"/>
      <c r="R55" s="119"/>
    </row>
    <row r="56" spans="1:18" ht="12" customHeight="1" thickBot="1" x14ac:dyDescent="0.2">
      <c r="A56" s="283"/>
      <c r="B56" s="284"/>
      <c r="C56" s="285"/>
      <c r="D56" s="275"/>
      <c r="E56" s="275"/>
      <c r="F56" s="275"/>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J7" sqref="J7"/>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73</v>
      </c>
      <c r="H3" s="139">
        <v>2</v>
      </c>
      <c r="I3" s="89"/>
      <c r="J3" s="89"/>
      <c r="K3" s="89"/>
      <c r="L3" s="89"/>
      <c r="M3" s="89"/>
      <c r="N3" s="93"/>
      <c r="O3" s="99">
        <f t="shared" ref="O3:O52" si="0">IF(SUM(G3,I3,,M3)=0,"",AVERAGE(G3,I3,K3,M3))</f>
        <v>73</v>
      </c>
      <c r="P3" s="100">
        <f t="shared" ref="P3:P52" si="1">SUM(H3,J3,L3,N3)</f>
        <v>2</v>
      </c>
      <c r="Q3" s="101" t="str">
        <f t="shared" ref="Q3:Q52" si="2">IF(O3="","",IF(O3&gt;=85,"5",IF(O3&gt;=70,"4",IF(O3&gt;=45,"3",IF(O3&gt;=44,"2","1")))))</f>
        <v>4</v>
      </c>
      <c r="R3" s="128" t="str">
        <f t="shared" ref="R3:R52" si="3">IF(O3&lt;44,"再試験",IF(P3&gt;$D$63,"補習",""))</f>
        <v/>
      </c>
      <c r="T3" s="30" t="s">
        <v>96</v>
      </c>
      <c r="AB3" s="123"/>
      <c r="AC3" s="80"/>
      <c r="AD3" s="79"/>
      <c r="AE3" s="77"/>
      <c r="AF3" s="77"/>
    </row>
    <row r="4" spans="1:32" ht="15" customHeight="1" x14ac:dyDescent="0.15">
      <c r="A4" s="238"/>
      <c r="B4" s="239"/>
      <c r="C4" s="236"/>
      <c r="D4" s="111">
        <f t="shared" ref="D4:D52" si="4">D3+1</f>
        <v>2</v>
      </c>
      <c r="E4" s="82">
        <v>19023</v>
      </c>
      <c r="F4" s="87" t="s">
        <v>117</v>
      </c>
      <c r="G4" s="89">
        <v>44</v>
      </c>
      <c r="H4" s="80">
        <v>10</v>
      </c>
      <c r="I4" s="89"/>
      <c r="J4" s="89"/>
      <c r="K4" s="89"/>
      <c r="L4" s="89"/>
      <c r="M4" s="89"/>
      <c r="N4" s="93"/>
      <c r="O4" s="99">
        <f t="shared" si="0"/>
        <v>44</v>
      </c>
      <c r="P4" s="100">
        <f t="shared" si="1"/>
        <v>10</v>
      </c>
      <c r="Q4" s="101" t="str">
        <f t="shared" si="2"/>
        <v>2</v>
      </c>
      <c r="R4" s="128" t="str">
        <f t="shared" si="3"/>
        <v/>
      </c>
      <c r="T4" s="30" t="s">
        <v>64</v>
      </c>
      <c r="AB4" s="123"/>
      <c r="AC4" s="80"/>
      <c r="AD4" s="79"/>
      <c r="AE4" s="77"/>
      <c r="AF4" s="77"/>
    </row>
    <row r="5" spans="1:32" ht="15" customHeight="1" x14ac:dyDescent="0.15">
      <c r="A5" s="238"/>
      <c r="B5" s="239"/>
      <c r="C5" s="236"/>
      <c r="D5" s="111">
        <f t="shared" si="4"/>
        <v>3</v>
      </c>
      <c r="E5" s="82">
        <v>19028</v>
      </c>
      <c r="F5" s="87" t="s">
        <v>109</v>
      </c>
      <c r="G5" s="89">
        <v>78</v>
      </c>
      <c r="H5" s="80">
        <v>4</v>
      </c>
      <c r="I5" s="89"/>
      <c r="J5" s="89"/>
      <c r="K5" s="89"/>
      <c r="L5" s="89"/>
      <c r="M5" s="89"/>
      <c r="N5" s="93"/>
      <c r="O5" s="99">
        <f t="shared" si="0"/>
        <v>78</v>
      </c>
      <c r="P5" s="100">
        <f t="shared" si="1"/>
        <v>4</v>
      </c>
      <c r="Q5" s="101" t="str">
        <f t="shared" si="2"/>
        <v>4</v>
      </c>
      <c r="R5" s="128" t="str">
        <f t="shared" si="3"/>
        <v/>
      </c>
      <c r="T5" s="30" t="s">
        <v>65</v>
      </c>
      <c r="AB5" s="123"/>
      <c r="AC5" s="80"/>
      <c r="AD5" s="79"/>
      <c r="AE5" s="77"/>
      <c r="AF5" s="77"/>
    </row>
    <row r="6" spans="1:32" ht="15" customHeight="1" x14ac:dyDescent="0.15">
      <c r="A6" s="238"/>
      <c r="B6" s="239"/>
      <c r="C6" s="236"/>
      <c r="D6" s="111">
        <f t="shared" si="4"/>
        <v>4</v>
      </c>
      <c r="E6" s="82">
        <v>19038</v>
      </c>
      <c r="F6" s="87" t="s">
        <v>110</v>
      </c>
      <c r="G6" s="89">
        <v>70</v>
      </c>
      <c r="H6" s="80">
        <v>0</v>
      </c>
      <c r="I6" s="89"/>
      <c r="J6" s="89"/>
      <c r="K6" s="89"/>
      <c r="L6" s="89"/>
      <c r="M6" s="89"/>
      <c r="N6" s="93"/>
      <c r="O6" s="99">
        <f t="shared" si="0"/>
        <v>70</v>
      </c>
      <c r="P6" s="100">
        <f t="shared" si="1"/>
        <v>0</v>
      </c>
      <c r="Q6" s="101" t="str">
        <f t="shared" si="2"/>
        <v>4</v>
      </c>
      <c r="R6" s="128" t="str">
        <f t="shared" si="3"/>
        <v/>
      </c>
      <c r="T6" s="30" t="s">
        <v>66</v>
      </c>
      <c r="AB6" s="123"/>
      <c r="AC6" s="80"/>
      <c r="AD6" s="79"/>
      <c r="AE6" s="77"/>
      <c r="AF6" s="77"/>
    </row>
    <row r="7" spans="1:32" ht="15" customHeight="1" x14ac:dyDescent="0.15">
      <c r="A7" s="240"/>
      <c r="B7" s="241"/>
      <c r="C7" s="237"/>
      <c r="D7" s="111">
        <f t="shared" si="4"/>
        <v>5</v>
      </c>
      <c r="E7" s="82">
        <v>19041</v>
      </c>
      <c r="F7" s="87" t="s">
        <v>111</v>
      </c>
      <c r="G7" s="89">
        <v>64</v>
      </c>
      <c r="H7" s="80">
        <v>10</v>
      </c>
      <c r="I7" s="89"/>
      <c r="J7" s="89"/>
      <c r="K7" s="89"/>
      <c r="L7" s="89"/>
      <c r="M7" s="89"/>
      <c r="N7" s="93"/>
      <c r="O7" s="99">
        <f t="shared" si="0"/>
        <v>64</v>
      </c>
      <c r="P7" s="100">
        <f t="shared" si="1"/>
        <v>10</v>
      </c>
      <c r="Q7" s="101" t="str">
        <f t="shared" si="2"/>
        <v>3</v>
      </c>
      <c r="R7" s="128" t="str">
        <f t="shared" si="3"/>
        <v/>
      </c>
      <c r="U7" s="30" t="s">
        <v>70</v>
      </c>
      <c r="AB7" s="123"/>
      <c r="AC7" s="80"/>
      <c r="AD7" s="79"/>
      <c r="AE7" s="77"/>
      <c r="AF7" s="77"/>
    </row>
    <row r="8" spans="1:32" ht="15" customHeight="1" x14ac:dyDescent="0.15">
      <c r="A8" s="238" t="s">
        <v>92</v>
      </c>
      <c r="B8" s="239"/>
      <c r="C8" s="235" t="str">
        <f ca="1">RIGHT(CELL("filename",A1),LEN(CELL("filename",A1))-FIND("]",CELL("filename",A1)))</f>
        <v>ITP（ストラテジー）</v>
      </c>
      <c r="D8" s="111">
        <f t="shared" si="4"/>
        <v>6</v>
      </c>
      <c r="E8" s="82">
        <v>19052</v>
      </c>
      <c r="F8" s="87" t="s">
        <v>112</v>
      </c>
      <c r="G8" s="89">
        <v>44</v>
      </c>
      <c r="H8" s="80">
        <v>10</v>
      </c>
      <c r="I8" s="89"/>
      <c r="J8" s="89"/>
      <c r="K8" s="89"/>
      <c r="L8" s="89"/>
      <c r="M8" s="89"/>
      <c r="N8" s="93"/>
      <c r="O8" s="99">
        <f t="shared" si="0"/>
        <v>44</v>
      </c>
      <c r="P8" s="100">
        <f t="shared" si="1"/>
        <v>10</v>
      </c>
      <c r="Q8" s="101" t="str">
        <f t="shared" si="2"/>
        <v>2</v>
      </c>
      <c r="R8" s="128" t="str">
        <f t="shared" si="3"/>
        <v/>
      </c>
      <c r="T8" s="30"/>
      <c r="U8" s="30" t="s">
        <v>72</v>
      </c>
    </row>
    <row r="9" spans="1:32" ht="15" customHeight="1" x14ac:dyDescent="0.15">
      <c r="A9" s="238"/>
      <c r="B9" s="239"/>
      <c r="C9" s="236"/>
      <c r="D9" s="111">
        <f t="shared" si="4"/>
        <v>7</v>
      </c>
      <c r="E9" s="82">
        <v>19059</v>
      </c>
      <c r="F9" s="87" t="s">
        <v>113</v>
      </c>
      <c r="G9" s="89">
        <v>45</v>
      </c>
      <c r="H9" s="80">
        <v>0</v>
      </c>
      <c r="I9" s="89"/>
      <c r="J9" s="89"/>
      <c r="K9" s="89"/>
      <c r="L9" s="89"/>
      <c r="M9" s="89"/>
      <c r="N9" s="93"/>
      <c r="O9" s="99">
        <f t="shared" si="0"/>
        <v>45</v>
      </c>
      <c r="P9" s="100">
        <f t="shared" si="1"/>
        <v>0</v>
      </c>
      <c r="Q9" s="101" t="str">
        <f t="shared" si="2"/>
        <v>3</v>
      </c>
      <c r="R9" s="128" t="str">
        <f t="shared" si="3"/>
        <v/>
      </c>
      <c r="T9" s="30"/>
      <c r="AB9" s="123"/>
      <c r="AC9" s="80"/>
      <c r="AD9" s="79"/>
      <c r="AE9" s="77"/>
      <c r="AF9" s="77"/>
    </row>
    <row r="10" spans="1:32" ht="15" customHeight="1" x14ac:dyDescent="0.15">
      <c r="A10" s="238"/>
      <c r="B10" s="239"/>
      <c r="C10" s="236"/>
      <c r="D10" s="111">
        <f t="shared" si="4"/>
        <v>8</v>
      </c>
      <c r="E10" s="82">
        <v>19069</v>
      </c>
      <c r="F10" s="87" t="s">
        <v>114</v>
      </c>
      <c r="G10" s="89">
        <v>56</v>
      </c>
      <c r="H10" s="80">
        <v>6</v>
      </c>
      <c r="I10" s="89"/>
      <c r="J10" s="89"/>
      <c r="K10" s="89"/>
      <c r="L10" s="89"/>
      <c r="M10" s="89"/>
      <c r="N10" s="93"/>
      <c r="O10" s="99">
        <f t="shared" si="0"/>
        <v>56</v>
      </c>
      <c r="P10" s="100">
        <f t="shared" si="1"/>
        <v>6</v>
      </c>
      <c r="Q10" s="101" t="str">
        <f t="shared" si="2"/>
        <v>3</v>
      </c>
      <c r="R10" s="128" t="str">
        <f t="shared" si="3"/>
        <v/>
      </c>
      <c r="T10" s="30"/>
      <c r="U10" s="30" t="s">
        <v>71</v>
      </c>
      <c r="AB10" s="123"/>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242" t="s">
        <v>20</v>
      </c>
      <c r="B18" s="243"/>
      <c r="C18" s="251">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242" t="s">
        <v>91</v>
      </c>
      <c r="B23" s="243"/>
      <c r="C23" s="248">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242" t="s">
        <v>93</v>
      </c>
      <c r="B28" s="243"/>
      <c r="C28" s="248">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246"/>
      <c r="B42" s="247"/>
      <c r="C42" s="250"/>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271" t="s">
        <v>21</v>
      </c>
      <c r="B43" s="278"/>
      <c r="C43" s="248"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238"/>
      <c r="B44" s="279"/>
      <c r="C44" s="249"/>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238"/>
      <c r="B45" s="279"/>
      <c r="C45" s="249"/>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238"/>
      <c r="B46" s="279"/>
      <c r="C46" s="249"/>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238"/>
      <c r="B47" s="279"/>
      <c r="C47" s="249"/>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238"/>
      <c r="B48" s="279"/>
      <c r="C48" s="249"/>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240"/>
      <c r="B49" s="280"/>
      <c r="C49" s="250"/>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281" t="s">
        <v>24</v>
      </c>
      <c r="B50" s="282"/>
      <c r="C50" s="249"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281"/>
      <c r="B51" s="282"/>
      <c r="C51" s="249"/>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281"/>
      <c r="B52" s="282"/>
      <c r="C52" s="249"/>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281"/>
      <c r="B53" s="282"/>
      <c r="C53" s="249"/>
      <c r="D53" s="276" t="s">
        <v>25</v>
      </c>
      <c r="E53" s="276"/>
      <c r="F53" s="276"/>
      <c r="G53" s="126"/>
      <c r="H53" s="126"/>
      <c r="I53" s="126"/>
      <c r="J53" s="126"/>
      <c r="K53" s="126"/>
      <c r="L53" s="126"/>
      <c r="M53" s="126"/>
      <c r="N53" s="126"/>
      <c r="O53" s="114"/>
      <c r="P53" s="114"/>
      <c r="Q53" s="126"/>
      <c r="R53" s="115"/>
    </row>
    <row r="54" spans="1:18" ht="12" customHeight="1" x14ac:dyDescent="0.15">
      <c r="A54" s="281"/>
      <c r="B54" s="282"/>
      <c r="C54" s="249"/>
      <c r="D54" s="277"/>
      <c r="E54" s="277"/>
      <c r="F54" s="277"/>
      <c r="G54" s="127"/>
      <c r="H54" s="127"/>
      <c r="I54" s="127"/>
      <c r="J54" s="127"/>
      <c r="K54" s="127"/>
      <c r="L54" s="127"/>
      <c r="M54" s="127"/>
      <c r="N54" s="127"/>
      <c r="O54" s="127"/>
      <c r="P54" s="127"/>
      <c r="Q54" s="127"/>
      <c r="R54" s="117"/>
    </row>
    <row r="55" spans="1:18" ht="12" customHeight="1" x14ac:dyDescent="0.15">
      <c r="A55" s="281"/>
      <c r="B55" s="282"/>
      <c r="C55" s="249"/>
      <c r="D55" s="274" t="s">
        <v>26</v>
      </c>
      <c r="E55" s="274"/>
      <c r="F55" s="274"/>
      <c r="G55" s="124"/>
      <c r="H55" s="124"/>
      <c r="I55" s="124"/>
      <c r="J55" s="124"/>
      <c r="K55" s="124"/>
      <c r="L55" s="124"/>
      <c r="M55" s="124"/>
      <c r="N55" s="124"/>
      <c r="O55" s="114"/>
      <c r="P55" s="114"/>
      <c r="Q55" s="124"/>
      <c r="R55" s="119"/>
    </row>
    <row r="56" spans="1:18" ht="12" customHeight="1" thickBot="1" x14ac:dyDescent="0.2">
      <c r="A56" s="283"/>
      <c r="B56" s="284"/>
      <c r="C56" s="285"/>
      <c r="D56" s="275"/>
      <c r="E56" s="275"/>
      <c r="F56" s="275"/>
      <c r="G56" s="125"/>
      <c r="H56" s="125"/>
      <c r="I56" s="125"/>
      <c r="J56" s="125"/>
      <c r="K56" s="125"/>
      <c r="L56" s="125"/>
      <c r="M56" s="125"/>
      <c r="N56" s="125"/>
      <c r="O56" s="125"/>
      <c r="P56" s="125"/>
      <c r="Q56" s="125"/>
      <c r="R56" s="121"/>
    </row>
    <row r="58" spans="1:18" x14ac:dyDescent="0.15">
      <c r="C58" s="2" t="s">
        <v>89</v>
      </c>
      <c r="D58" s="97" t="s">
        <v>90</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zoomScaleNormal="100" zoomScaleSheetLayoutView="100" workbookViewId="0">
      <selection activeCell="G3" sqref="G3:H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104</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305</v>
      </c>
      <c r="D3" s="111">
        <v>1</v>
      </c>
      <c r="E3" s="82">
        <v>19002</v>
      </c>
      <c r="F3" s="87" t="s">
        <v>107</v>
      </c>
      <c r="G3" s="89">
        <v>81</v>
      </c>
      <c r="H3" s="139">
        <v>2</v>
      </c>
      <c r="I3" s="89"/>
      <c r="J3" s="89"/>
      <c r="K3" s="89"/>
      <c r="L3" s="89"/>
      <c r="M3" s="89"/>
      <c r="N3" s="93"/>
      <c r="O3" s="99">
        <f t="shared" ref="O3:O52" si="0">IF(SUM(G3,I3,,M3)=0,"",AVERAGE(G3,I3,K3,M3))</f>
        <v>81</v>
      </c>
      <c r="P3" s="100">
        <f t="shared" ref="P3:P52" si="1">SUM(H3,J3,L3,N3)</f>
        <v>2</v>
      </c>
      <c r="Q3" s="101" t="str">
        <f t="shared" ref="Q3:Q52" si="2">IF(O3="","",IF(O3&gt;=85,"5",IF(O3&gt;=70,"4",IF(O3&gt;=45,"3",IF(O3&gt;=44,"2","1")))))</f>
        <v>4</v>
      </c>
      <c r="R3" s="131" t="str">
        <f t="shared" ref="R3:R52" si="3">IF(O3&lt;44,"再試験",IF(P3&gt;$D$63,"補習",""))</f>
        <v/>
      </c>
      <c r="T3" s="30" t="s">
        <v>96</v>
      </c>
      <c r="AB3" s="129"/>
      <c r="AC3" s="80"/>
      <c r="AD3" s="79"/>
      <c r="AE3" s="77"/>
      <c r="AF3" s="77"/>
    </row>
    <row r="4" spans="1:32" ht="15" customHeight="1" x14ac:dyDescent="0.15">
      <c r="A4" s="238"/>
      <c r="B4" s="239"/>
      <c r="C4" s="236"/>
      <c r="D4" s="111">
        <f t="shared" ref="D4:D52" si="4">D3+1</f>
        <v>2</v>
      </c>
      <c r="E4" s="82">
        <v>19023</v>
      </c>
      <c r="F4" s="87" t="s">
        <v>117</v>
      </c>
      <c r="G4" s="89">
        <v>44</v>
      </c>
      <c r="H4" s="80">
        <v>10</v>
      </c>
      <c r="I4" s="89"/>
      <c r="J4" s="89"/>
      <c r="K4" s="89"/>
      <c r="L4" s="89"/>
      <c r="M4" s="89"/>
      <c r="N4" s="93"/>
      <c r="O4" s="99">
        <f t="shared" si="0"/>
        <v>44</v>
      </c>
      <c r="P4" s="100">
        <f t="shared" si="1"/>
        <v>10</v>
      </c>
      <c r="Q4" s="101" t="str">
        <f t="shared" si="2"/>
        <v>2</v>
      </c>
      <c r="R4" s="131" t="str">
        <f t="shared" si="3"/>
        <v/>
      </c>
      <c r="T4" s="30" t="s">
        <v>64</v>
      </c>
      <c r="AB4" s="129"/>
      <c r="AC4" s="80"/>
      <c r="AD4" s="79"/>
      <c r="AE4" s="77"/>
      <c r="AF4" s="77"/>
    </row>
    <row r="5" spans="1:32" ht="15" customHeight="1" x14ac:dyDescent="0.15">
      <c r="A5" s="238"/>
      <c r="B5" s="239"/>
      <c r="C5" s="236"/>
      <c r="D5" s="111">
        <f t="shared" si="4"/>
        <v>3</v>
      </c>
      <c r="E5" s="82">
        <v>19028</v>
      </c>
      <c r="F5" s="87" t="s">
        <v>109</v>
      </c>
      <c r="G5" s="89">
        <v>79</v>
      </c>
      <c r="H5" s="80">
        <v>4</v>
      </c>
      <c r="I5" s="89"/>
      <c r="J5" s="89"/>
      <c r="K5" s="89"/>
      <c r="L5" s="89"/>
      <c r="M5" s="89"/>
      <c r="N5" s="93"/>
      <c r="O5" s="99">
        <f t="shared" si="0"/>
        <v>79</v>
      </c>
      <c r="P5" s="100">
        <f t="shared" si="1"/>
        <v>4</v>
      </c>
      <c r="Q5" s="101" t="str">
        <f t="shared" si="2"/>
        <v>4</v>
      </c>
      <c r="R5" s="131" t="str">
        <f t="shared" si="3"/>
        <v/>
      </c>
      <c r="T5" s="30" t="s">
        <v>65</v>
      </c>
      <c r="AB5" s="129"/>
      <c r="AC5" s="80"/>
      <c r="AD5" s="79"/>
      <c r="AE5" s="77"/>
      <c r="AF5" s="77"/>
    </row>
    <row r="6" spans="1:32" ht="15" customHeight="1" x14ac:dyDescent="0.15">
      <c r="A6" s="238"/>
      <c r="B6" s="239"/>
      <c r="C6" s="236"/>
      <c r="D6" s="111">
        <f t="shared" si="4"/>
        <v>4</v>
      </c>
      <c r="E6" s="82">
        <v>19038</v>
      </c>
      <c r="F6" s="87" t="s">
        <v>110</v>
      </c>
      <c r="G6" s="89">
        <v>45</v>
      </c>
      <c r="H6" s="80">
        <v>0</v>
      </c>
      <c r="I6" s="89"/>
      <c r="J6" s="89"/>
      <c r="K6" s="89"/>
      <c r="L6" s="89"/>
      <c r="M6" s="89"/>
      <c r="N6" s="93"/>
      <c r="O6" s="99">
        <f t="shared" si="0"/>
        <v>45</v>
      </c>
      <c r="P6" s="100">
        <f t="shared" si="1"/>
        <v>0</v>
      </c>
      <c r="Q6" s="101" t="str">
        <f t="shared" si="2"/>
        <v>3</v>
      </c>
      <c r="R6" s="131" t="str">
        <f t="shared" si="3"/>
        <v/>
      </c>
      <c r="T6" s="30" t="s">
        <v>66</v>
      </c>
      <c r="AB6" s="129"/>
      <c r="AC6" s="80"/>
      <c r="AD6" s="79"/>
      <c r="AE6" s="77"/>
      <c r="AF6" s="77"/>
    </row>
    <row r="7" spans="1:32" ht="15" customHeight="1" x14ac:dyDescent="0.15">
      <c r="A7" s="240"/>
      <c r="B7" s="241"/>
      <c r="C7" s="237"/>
      <c r="D7" s="111">
        <f t="shared" si="4"/>
        <v>5</v>
      </c>
      <c r="E7" s="82">
        <v>19041</v>
      </c>
      <c r="F7" s="87" t="s">
        <v>111</v>
      </c>
      <c r="G7" s="89">
        <v>50</v>
      </c>
      <c r="H7" s="80">
        <v>10</v>
      </c>
      <c r="I7" s="89"/>
      <c r="J7" s="89"/>
      <c r="K7" s="89"/>
      <c r="L7" s="89"/>
      <c r="M7" s="89"/>
      <c r="N7" s="93"/>
      <c r="O7" s="99">
        <f t="shared" si="0"/>
        <v>50</v>
      </c>
      <c r="P7" s="100">
        <f t="shared" si="1"/>
        <v>10</v>
      </c>
      <c r="Q7" s="101" t="str">
        <f t="shared" si="2"/>
        <v>3</v>
      </c>
      <c r="R7" s="131" t="str">
        <f t="shared" si="3"/>
        <v/>
      </c>
      <c r="U7" s="30" t="s">
        <v>70</v>
      </c>
      <c r="AB7" s="129"/>
      <c r="AC7" s="80"/>
      <c r="AD7" s="79"/>
      <c r="AE7" s="77"/>
      <c r="AF7" s="77"/>
    </row>
    <row r="8" spans="1:32" ht="15" customHeight="1" x14ac:dyDescent="0.15">
      <c r="A8" s="238" t="s">
        <v>92</v>
      </c>
      <c r="B8" s="239"/>
      <c r="C8" s="235" t="str">
        <f ca="1">RIGHT(CELL("filename",A1),LEN(CELL("filename",A1))-FIND("]",CELL("filename",A1)))</f>
        <v xml:space="preserve">ITP（テクノロジー） </v>
      </c>
      <c r="D8" s="111">
        <f t="shared" si="4"/>
        <v>6</v>
      </c>
      <c r="E8" s="82">
        <v>19052</v>
      </c>
      <c r="F8" s="87" t="s">
        <v>112</v>
      </c>
      <c r="G8" s="89">
        <v>44</v>
      </c>
      <c r="H8" s="80">
        <v>10</v>
      </c>
      <c r="I8" s="89"/>
      <c r="J8" s="89"/>
      <c r="K8" s="89"/>
      <c r="L8" s="89"/>
      <c r="M8" s="89"/>
      <c r="N8" s="93"/>
      <c r="O8" s="99">
        <f t="shared" si="0"/>
        <v>44</v>
      </c>
      <c r="P8" s="100">
        <f t="shared" si="1"/>
        <v>10</v>
      </c>
      <c r="Q8" s="101" t="str">
        <f t="shared" si="2"/>
        <v>2</v>
      </c>
      <c r="R8" s="131" t="str">
        <f t="shared" si="3"/>
        <v/>
      </c>
      <c r="T8" s="30"/>
      <c r="U8" s="30" t="s">
        <v>72</v>
      </c>
    </row>
    <row r="9" spans="1:32" ht="15" customHeight="1" x14ac:dyDescent="0.15">
      <c r="A9" s="238"/>
      <c r="B9" s="239"/>
      <c r="C9" s="236"/>
      <c r="D9" s="111">
        <f t="shared" si="4"/>
        <v>7</v>
      </c>
      <c r="E9" s="82">
        <v>19059</v>
      </c>
      <c r="F9" s="87" t="s">
        <v>113</v>
      </c>
      <c r="G9" s="89">
        <v>60</v>
      </c>
      <c r="H9" s="80">
        <v>0</v>
      </c>
      <c r="I9" s="89"/>
      <c r="J9" s="89"/>
      <c r="K9" s="89"/>
      <c r="L9" s="89"/>
      <c r="M9" s="89"/>
      <c r="N9" s="93"/>
      <c r="O9" s="99">
        <f t="shared" si="0"/>
        <v>60</v>
      </c>
      <c r="P9" s="100">
        <f t="shared" si="1"/>
        <v>0</v>
      </c>
      <c r="Q9" s="101" t="str">
        <f t="shared" si="2"/>
        <v>3</v>
      </c>
      <c r="R9" s="131" t="str">
        <f t="shared" si="3"/>
        <v/>
      </c>
      <c r="T9" s="30"/>
      <c r="AB9" s="129"/>
      <c r="AC9" s="80"/>
      <c r="AD9" s="79"/>
      <c r="AE9" s="77"/>
      <c r="AF9" s="77"/>
    </row>
    <row r="10" spans="1:32" ht="15" customHeight="1" x14ac:dyDescent="0.15">
      <c r="A10" s="238"/>
      <c r="B10" s="239"/>
      <c r="C10" s="236"/>
      <c r="D10" s="111">
        <f t="shared" si="4"/>
        <v>8</v>
      </c>
      <c r="E10" s="82">
        <v>19069</v>
      </c>
      <c r="F10" s="87" t="s">
        <v>114</v>
      </c>
      <c r="G10" s="89">
        <v>84</v>
      </c>
      <c r="H10" s="80">
        <v>6</v>
      </c>
      <c r="I10" s="89"/>
      <c r="J10" s="89"/>
      <c r="K10" s="89"/>
      <c r="L10" s="89"/>
      <c r="M10" s="89"/>
      <c r="N10" s="93"/>
      <c r="O10" s="99">
        <f t="shared" si="0"/>
        <v>84</v>
      </c>
      <c r="P10" s="100">
        <f t="shared" si="1"/>
        <v>6</v>
      </c>
      <c r="Q10" s="101" t="str">
        <f t="shared" si="2"/>
        <v>4</v>
      </c>
      <c r="R10" s="131" t="str">
        <f t="shared" si="3"/>
        <v/>
      </c>
      <c r="T10" s="30"/>
      <c r="U10" s="30" t="s">
        <v>71</v>
      </c>
      <c r="AB10" s="129"/>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31" t="str">
        <f t="shared" si="3"/>
        <v/>
      </c>
      <c r="AB11" s="129"/>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31" t="str">
        <f t="shared" si="3"/>
        <v/>
      </c>
      <c r="T12" s="30"/>
      <c r="AB12" s="129"/>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31" t="str">
        <f t="shared" si="3"/>
        <v/>
      </c>
      <c r="U13" s="30"/>
      <c r="AB13" s="129"/>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31" t="str">
        <f t="shared" si="3"/>
        <v/>
      </c>
      <c r="AB14" s="129"/>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31" t="str">
        <f t="shared" si="3"/>
        <v/>
      </c>
      <c r="AB15" s="129"/>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31" t="str">
        <f t="shared" si="3"/>
        <v/>
      </c>
      <c r="AB16" s="129"/>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31" t="str">
        <f t="shared" si="3"/>
        <v/>
      </c>
      <c r="AB17" s="129"/>
      <c r="AC17" s="80"/>
      <c r="AD17" s="79"/>
      <c r="AE17" s="77"/>
      <c r="AF17" s="77"/>
    </row>
    <row r="18" spans="1:32" ht="15" customHeight="1" x14ac:dyDescent="0.15">
      <c r="A18" s="242" t="s">
        <v>20</v>
      </c>
      <c r="B18" s="243"/>
      <c r="C18" s="251">
        <f>SUM(C23:C42)</f>
        <v>32</v>
      </c>
      <c r="D18" s="111">
        <f t="shared" si="4"/>
        <v>16</v>
      </c>
      <c r="E18" s="82"/>
      <c r="F18" s="87"/>
      <c r="G18" s="89"/>
      <c r="H18" s="89"/>
      <c r="I18" s="89"/>
      <c r="J18" s="89"/>
      <c r="K18" s="89"/>
      <c r="L18" s="89"/>
      <c r="M18" s="89"/>
      <c r="N18" s="93"/>
      <c r="O18" s="99" t="str">
        <f t="shared" si="0"/>
        <v/>
      </c>
      <c r="P18" s="100">
        <f t="shared" si="1"/>
        <v>0</v>
      </c>
      <c r="Q18" s="101" t="str">
        <f t="shared" si="2"/>
        <v/>
      </c>
      <c r="R18" s="131" t="str">
        <f t="shared" si="3"/>
        <v/>
      </c>
      <c r="AB18" s="129"/>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31" t="str">
        <f t="shared" si="3"/>
        <v/>
      </c>
      <c r="AB19" s="129"/>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31" t="str">
        <f t="shared" si="3"/>
        <v/>
      </c>
      <c r="AB20" s="129"/>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31" t="str">
        <f t="shared" si="3"/>
        <v/>
      </c>
      <c r="AB21" s="129"/>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31" t="str">
        <f t="shared" si="3"/>
        <v/>
      </c>
      <c r="AB22" s="129"/>
      <c r="AC22" s="80"/>
      <c r="AD22" s="79"/>
      <c r="AE22" s="77"/>
      <c r="AF22" s="77"/>
    </row>
    <row r="23" spans="1:32" ht="15" customHeight="1" x14ac:dyDescent="0.15">
      <c r="A23" s="242" t="s">
        <v>91</v>
      </c>
      <c r="B23" s="243"/>
      <c r="C23" s="248">
        <v>32</v>
      </c>
      <c r="D23" s="111">
        <f t="shared" si="4"/>
        <v>21</v>
      </c>
      <c r="E23" s="82"/>
      <c r="F23" s="87"/>
      <c r="G23" s="89"/>
      <c r="H23" s="89"/>
      <c r="I23" s="89"/>
      <c r="J23" s="89"/>
      <c r="K23" s="89"/>
      <c r="L23" s="89"/>
      <c r="M23" s="89"/>
      <c r="N23" s="93"/>
      <c r="O23" s="99" t="str">
        <f t="shared" si="0"/>
        <v/>
      </c>
      <c r="P23" s="100">
        <f t="shared" si="1"/>
        <v>0</v>
      </c>
      <c r="Q23" s="101" t="str">
        <f t="shared" si="2"/>
        <v/>
      </c>
      <c r="R23" s="131" t="str">
        <f t="shared" si="3"/>
        <v/>
      </c>
      <c r="AB23" s="129"/>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31" t="str">
        <f t="shared" si="3"/>
        <v/>
      </c>
      <c r="AB24" s="129"/>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31" t="str">
        <f t="shared" si="3"/>
        <v/>
      </c>
      <c r="AB25" s="129"/>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31" t="str">
        <f t="shared" si="3"/>
        <v/>
      </c>
      <c r="AB26" s="129"/>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31" t="str">
        <f t="shared" si="3"/>
        <v/>
      </c>
      <c r="AB27" s="129"/>
      <c r="AC27" s="80"/>
      <c r="AD27" s="79"/>
      <c r="AE27" s="77"/>
      <c r="AF27" s="77"/>
    </row>
    <row r="28" spans="1:32" ht="15" customHeight="1" x14ac:dyDescent="0.15">
      <c r="A28" s="242" t="s">
        <v>93</v>
      </c>
      <c r="B28" s="243"/>
      <c r="C28" s="248">
        <v>0</v>
      </c>
      <c r="D28" s="111">
        <f t="shared" si="4"/>
        <v>26</v>
      </c>
      <c r="E28" s="82"/>
      <c r="F28" s="87"/>
      <c r="G28" s="89"/>
      <c r="H28" s="89"/>
      <c r="I28" s="89"/>
      <c r="J28" s="89"/>
      <c r="K28" s="89"/>
      <c r="L28" s="89"/>
      <c r="M28" s="89"/>
      <c r="N28" s="93"/>
      <c r="O28" s="99" t="str">
        <f t="shared" si="0"/>
        <v/>
      </c>
      <c r="P28" s="100">
        <f t="shared" si="1"/>
        <v>0</v>
      </c>
      <c r="Q28" s="101" t="str">
        <f t="shared" si="2"/>
        <v/>
      </c>
      <c r="R28" s="131" t="str">
        <f t="shared" si="3"/>
        <v/>
      </c>
      <c r="AB28" s="129"/>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31" t="str">
        <f t="shared" si="3"/>
        <v/>
      </c>
      <c r="AB29" s="129"/>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31" t="str">
        <f t="shared" si="3"/>
        <v/>
      </c>
      <c r="AB30" s="129"/>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31"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31" t="str">
        <f t="shared" si="3"/>
        <v/>
      </c>
      <c r="AB32" s="129"/>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31" t="str">
        <f t="shared" si="3"/>
        <v/>
      </c>
      <c r="AB33" s="129"/>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31" t="str">
        <f t="shared" si="3"/>
        <v/>
      </c>
      <c r="AB34" s="129"/>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31" t="str">
        <f t="shared" si="3"/>
        <v/>
      </c>
      <c r="AB35" s="129"/>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31"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31"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31"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31"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31"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31" t="str">
        <f t="shared" si="3"/>
        <v/>
      </c>
    </row>
    <row r="42" spans="1:32" ht="15" customHeight="1" x14ac:dyDescent="0.15">
      <c r="A42" s="246"/>
      <c r="B42" s="247"/>
      <c r="C42" s="250"/>
      <c r="D42" s="112">
        <f t="shared" si="4"/>
        <v>40</v>
      </c>
      <c r="E42" s="130"/>
      <c r="F42" s="88"/>
      <c r="G42" s="91"/>
      <c r="H42" s="91"/>
      <c r="I42" s="91"/>
      <c r="J42" s="91"/>
      <c r="K42" s="91"/>
      <c r="L42" s="91"/>
      <c r="M42" s="91"/>
      <c r="N42" s="95"/>
      <c r="O42" s="103" t="str">
        <f t="shared" si="0"/>
        <v/>
      </c>
      <c r="P42" s="104">
        <f t="shared" si="1"/>
        <v>0</v>
      </c>
      <c r="Q42" s="101" t="str">
        <f t="shared" si="2"/>
        <v/>
      </c>
      <c r="R42" s="131" t="str">
        <f t="shared" si="3"/>
        <v/>
      </c>
    </row>
    <row r="43" spans="1:32" ht="15" customHeight="1" x14ac:dyDescent="0.15">
      <c r="A43" s="271" t="s">
        <v>21</v>
      </c>
      <c r="B43" s="278"/>
      <c r="C43" s="248" t="s">
        <v>105</v>
      </c>
      <c r="D43" s="112">
        <f t="shared" si="4"/>
        <v>41</v>
      </c>
      <c r="E43" s="130"/>
      <c r="F43" s="88"/>
      <c r="G43" s="91"/>
      <c r="H43" s="91"/>
      <c r="I43" s="91"/>
      <c r="J43" s="91"/>
      <c r="K43" s="91"/>
      <c r="L43" s="91"/>
      <c r="M43" s="91"/>
      <c r="N43" s="95"/>
      <c r="O43" s="103" t="str">
        <f t="shared" si="0"/>
        <v/>
      </c>
      <c r="P43" s="104">
        <f t="shared" si="1"/>
        <v>0</v>
      </c>
      <c r="Q43" s="101" t="str">
        <f t="shared" si="2"/>
        <v/>
      </c>
      <c r="R43" s="131" t="str">
        <f t="shared" si="3"/>
        <v/>
      </c>
    </row>
    <row r="44" spans="1:32" ht="15" customHeight="1" x14ac:dyDescent="0.15">
      <c r="A44" s="238"/>
      <c r="B44" s="279"/>
      <c r="C44" s="249"/>
      <c r="D44" s="112">
        <f t="shared" si="4"/>
        <v>42</v>
      </c>
      <c r="E44" s="130"/>
      <c r="F44" s="88"/>
      <c r="G44" s="91"/>
      <c r="H44" s="91"/>
      <c r="I44" s="91"/>
      <c r="J44" s="91"/>
      <c r="K44" s="91"/>
      <c r="L44" s="91"/>
      <c r="M44" s="91"/>
      <c r="N44" s="95"/>
      <c r="O44" s="103" t="str">
        <f t="shared" si="0"/>
        <v/>
      </c>
      <c r="P44" s="104">
        <f t="shared" si="1"/>
        <v>0</v>
      </c>
      <c r="Q44" s="101" t="str">
        <f t="shared" si="2"/>
        <v/>
      </c>
      <c r="R44" s="131" t="str">
        <f t="shared" si="3"/>
        <v/>
      </c>
    </row>
    <row r="45" spans="1:32" ht="15" customHeight="1" x14ac:dyDescent="0.15">
      <c r="A45" s="238"/>
      <c r="B45" s="279"/>
      <c r="C45" s="249"/>
      <c r="D45" s="112">
        <f t="shared" si="4"/>
        <v>43</v>
      </c>
      <c r="E45" s="130"/>
      <c r="F45" s="88"/>
      <c r="G45" s="91"/>
      <c r="H45" s="91"/>
      <c r="I45" s="91"/>
      <c r="J45" s="91"/>
      <c r="K45" s="91"/>
      <c r="L45" s="91"/>
      <c r="M45" s="91"/>
      <c r="N45" s="95"/>
      <c r="O45" s="103" t="str">
        <f t="shared" si="0"/>
        <v/>
      </c>
      <c r="P45" s="104">
        <f t="shared" si="1"/>
        <v>0</v>
      </c>
      <c r="Q45" s="101" t="str">
        <f t="shared" si="2"/>
        <v/>
      </c>
      <c r="R45" s="131" t="str">
        <f t="shared" si="3"/>
        <v/>
      </c>
    </row>
    <row r="46" spans="1:32" ht="15" customHeight="1" x14ac:dyDescent="0.15">
      <c r="A46" s="238"/>
      <c r="B46" s="279"/>
      <c r="C46" s="249"/>
      <c r="D46" s="112">
        <f t="shared" si="4"/>
        <v>44</v>
      </c>
      <c r="E46" s="130"/>
      <c r="F46" s="88"/>
      <c r="G46" s="91"/>
      <c r="H46" s="91"/>
      <c r="I46" s="91"/>
      <c r="J46" s="91"/>
      <c r="K46" s="91"/>
      <c r="L46" s="91"/>
      <c r="M46" s="91"/>
      <c r="N46" s="95"/>
      <c r="O46" s="103" t="str">
        <f t="shared" si="0"/>
        <v/>
      </c>
      <c r="P46" s="104">
        <f t="shared" si="1"/>
        <v>0</v>
      </c>
      <c r="Q46" s="101" t="str">
        <f t="shared" si="2"/>
        <v/>
      </c>
      <c r="R46" s="131" t="str">
        <f t="shared" si="3"/>
        <v/>
      </c>
    </row>
    <row r="47" spans="1:32" ht="15" customHeight="1" x14ac:dyDescent="0.15">
      <c r="A47" s="238"/>
      <c r="B47" s="279"/>
      <c r="C47" s="249"/>
      <c r="D47" s="112">
        <f t="shared" si="4"/>
        <v>45</v>
      </c>
      <c r="E47" s="130"/>
      <c r="F47" s="88"/>
      <c r="G47" s="91"/>
      <c r="H47" s="91"/>
      <c r="I47" s="91"/>
      <c r="J47" s="91"/>
      <c r="K47" s="91"/>
      <c r="L47" s="91"/>
      <c r="M47" s="91"/>
      <c r="N47" s="95"/>
      <c r="O47" s="103" t="str">
        <f t="shared" si="0"/>
        <v/>
      </c>
      <c r="P47" s="104">
        <f t="shared" si="1"/>
        <v>0</v>
      </c>
      <c r="Q47" s="101" t="str">
        <f t="shared" si="2"/>
        <v/>
      </c>
      <c r="R47" s="131" t="str">
        <f t="shared" si="3"/>
        <v/>
      </c>
    </row>
    <row r="48" spans="1:32" ht="15" customHeight="1" x14ac:dyDescent="0.15">
      <c r="A48" s="238"/>
      <c r="B48" s="279"/>
      <c r="C48" s="249"/>
      <c r="D48" s="112">
        <f t="shared" si="4"/>
        <v>46</v>
      </c>
      <c r="E48" s="130"/>
      <c r="F48" s="88"/>
      <c r="G48" s="91"/>
      <c r="H48" s="91"/>
      <c r="I48" s="91"/>
      <c r="J48" s="91"/>
      <c r="K48" s="91"/>
      <c r="L48" s="91"/>
      <c r="M48" s="91"/>
      <c r="N48" s="95"/>
      <c r="O48" s="103" t="str">
        <f t="shared" si="0"/>
        <v/>
      </c>
      <c r="P48" s="104">
        <f t="shared" si="1"/>
        <v>0</v>
      </c>
      <c r="Q48" s="101" t="str">
        <f t="shared" si="2"/>
        <v/>
      </c>
      <c r="R48" s="131" t="str">
        <f t="shared" si="3"/>
        <v/>
      </c>
    </row>
    <row r="49" spans="1:18" ht="15" customHeight="1" x14ac:dyDescent="0.15">
      <c r="A49" s="240"/>
      <c r="B49" s="280"/>
      <c r="C49" s="250"/>
      <c r="D49" s="112">
        <f t="shared" si="4"/>
        <v>47</v>
      </c>
      <c r="E49" s="130"/>
      <c r="F49" s="88"/>
      <c r="G49" s="91"/>
      <c r="H49" s="91"/>
      <c r="I49" s="91"/>
      <c r="J49" s="91"/>
      <c r="K49" s="91"/>
      <c r="L49" s="91"/>
      <c r="M49" s="91"/>
      <c r="N49" s="95"/>
      <c r="O49" s="103" t="str">
        <f t="shared" si="0"/>
        <v/>
      </c>
      <c r="P49" s="104">
        <f t="shared" si="1"/>
        <v>0</v>
      </c>
      <c r="Q49" s="101" t="str">
        <f t="shared" si="2"/>
        <v/>
      </c>
      <c r="R49" s="131" t="str">
        <f t="shared" si="3"/>
        <v/>
      </c>
    </row>
    <row r="50" spans="1:18" ht="15" customHeight="1" x14ac:dyDescent="0.15">
      <c r="A50" s="281" t="s">
        <v>24</v>
      </c>
      <c r="B50" s="282"/>
      <c r="C50" s="249" t="s">
        <v>105</v>
      </c>
      <c r="D50" s="112">
        <f t="shared" si="4"/>
        <v>48</v>
      </c>
      <c r="E50" s="130"/>
      <c r="F50" s="88"/>
      <c r="G50" s="91"/>
      <c r="H50" s="91"/>
      <c r="I50" s="91"/>
      <c r="J50" s="91"/>
      <c r="K50" s="91"/>
      <c r="L50" s="91"/>
      <c r="M50" s="91"/>
      <c r="N50" s="95"/>
      <c r="O50" s="103" t="str">
        <f t="shared" si="0"/>
        <v/>
      </c>
      <c r="P50" s="104">
        <f t="shared" si="1"/>
        <v>0</v>
      </c>
      <c r="Q50" s="101" t="str">
        <f t="shared" si="2"/>
        <v/>
      </c>
      <c r="R50" s="131" t="str">
        <f t="shared" si="3"/>
        <v/>
      </c>
    </row>
    <row r="51" spans="1:18" ht="15" customHeight="1" x14ac:dyDescent="0.15">
      <c r="A51" s="281"/>
      <c r="B51" s="282"/>
      <c r="C51" s="249"/>
      <c r="D51" s="112">
        <f t="shared" si="4"/>
        <v>49</v>
      </c>
      <c r="E51" s="130"/>
      <c r="F51" s="53"/>
      <c r="G51" s="92"/>
      <c r="H51" s="92"/>
      <c r="I51" s="92"/>
      <c r="J51" s="92"/>
      <c r="K51" s="92"/>
      <c r="L51" s="92"/>
      <c r="M51" s="92"/>
      <c r="N51" s="96"/>
      <c r="O51" s="103" t="str">
        <f t="shared" si="0"/>
        <v/>
      </c>
      <c r="P51" s="104">
        <f t="shared" si="1"/>
        <v>0</v>
      </c>
      <c r="Q51" s="101" t="str">
        <f t="shared" si="2"/>
        <v/>
      </c>
      <c r="R51" s="131" t="str">
        <f t="shared" si="3"/>
        <v/>
      </c>
    </row>
    <row r="52" spans="1:18" ht="15" customHeight="1" thickBot="1" x14ac:dyDescent="0.2">
      <c r="A52" s="281"/>
      <c r="B52" s="282"/>
      <c r="C52" s="249"/>
      <c r="D52" s="112">
        <f t="shared" si="4"/>
        <v>50</v>
      </c>
      <c r="E52" s="130"/>
      <c r="F52" s="53"/>
      <c r="G52" s="92"/>
      <c r="H52" s="92"/>
      <c r="I52" s="92"/>
      <c r="J52" s="92"/>
      <c r="K52" s="92"/>
      <c r="L52" s="92"/>
      <c r="M52" s="92"/>
      <c r="N52" s="96"/>
      <c r="O52" s="105" t="str">
        <f t="shared" si="0"/>
        <v/>
      </c>
      <c r="P52" s="106">
        <f t="shared" si="1"/>
        <v>0</v>
      </c>
      <c r="Q52" s="101" t="str">
        <f t="shared" si="2"/>
        <v/>
      </c>
      <c r="R52" s="131" t="str">
        <f t="shared" si="3"/>
        <v/>
      </c>
    </row>
    <row r="53" spans="1:18" ht="12" customHeight="1" x14ac:dyDescent="0.15">
      <c r="A53" s="281"/>
      <c r="B53" s="282"/>
      <c r="C53" s="249"/>
      <c r="D53" s="276" t="s">
        <v>25</v>
      </c>
      <c r="E53" s="276"/>
      <c r="F53" s="276"/>
      <c r="G53" s="134"/>
      <c r="H53" s="134"/>
      <c r="I53" s="134"/>
      <c r="J53" s="134"/>
      <c r="K53" s="134"/>
      <c r="L53" s="134"/>
      <c r="M53" s="134"/>
      <c r="N53" s="134"/>
      <c r="O53" s="114"/>
      <c r="P53" s="114"/>
      <c r="Q53" s="134"/>
      <c r="R53" s="115"/>
    </row>
    <row r="54" spans="1:18" ht="12" customHeight="1" x14ac:dyDescent="0.15">
      <c r="A54" s="281"/>
      <c r="B54" s="282"/>
      <c r="C54" s="249"/>
      <c r="D54" s="277"/>
      <c r="E54" s="277"/>
      <c r="F54" s="277"/>
      <c r="G54" s="135"/>
      <c r="H54" s="135"/>
      <c r="I54" s="135"/>
      <c r="J54" s="135"/>
      <c r="K54" s="135"/>
      <c r="L54" s="135"/>
      <c r="M54" s="135"/>
      <c r="N54" s="135"/>
      <c r="O54" s="135"/>
      <c r="P54" s="135"/>
      <c r="Q54" s="135"/>
      <c r="R54" s="117"/>
    </row>
    <row r="55" spans="1:18" ht="12" customHeight="1" x14ac:dyDescent="0.15">
      <c r="A55" s="281"/>
      <c r="B55" s="282"/>
      <c r="C55" s="249"/>
      <c r="D55" s="274" t="s">
        <v>26</v>
      </c>
      <c r="E55" s="274"/>
      <c r="F55" s="274"/>
      <c r="G55" s="132"/>
      <c r="H55" s="132"/>
      <c r="I55" s="132"/>
      <c r="J55" s="132"/>
      <c r="K55" s="132"/>
      <c r="L55" s="132"/>
      <c r="M55" s="132"/>
      <c r="N55" s="132"/>
      <c r="O55" s="114"/>
      <c r="P55" s="114"/>
      <c r="Q55" s="132"/>
      <c r="R55" s="119"/>
    </row>
    <row r="56" spans="1:18" ht="12" customHeight="1" thickBot="1" x14ac:dyDescent="0.2">
      <c r="A56" s="283"/>
      <c r="B56" s="284"/>
      <c r="C56" s="285"/>
      <c r="D56" s="275"/>
      <c r="E56" s="275"/>
      <c r="F56" s="275"/>
      <c r="G56" s="133"/>
      <c r="H56" s="133"/>
      <c r="I56" s="133"/>
      <c r="J56" s="133"/>
      <c r="K56" s="133"/>
      <c r="L56" s="133"/>
      <c r="M56" s="133"/>
      <c r="N56" s="133"/>
      <c r="O56" s="133"/>
      <c r="P56" s="133"/>
      <c r="Q56" s="133"/>
      <c r="R56" s="121"/>
    </row>
    <row r="58" spans="1:18" x14ac:dyDescent="0.15">
      <c r="C58" s="2" t="s">
        <v>89</v>
      </c>
      <c r="D58" s="97" t="s">
        <v>90</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activeCell="K8" sqref="K8"/>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79</v>
      </c>
      <c r="H3" s="139">
        <v>0</v>
      </c>
      <c r="I3" s="89"/>
      <c r="J3" s="89"/>
      <c r="K3" s="89"/>
      <c r="L3" s="89"/>
      <c r="M3" s="89"/>
      <c r="N3" s="93"/>
      <c r="O3" s="99">
        <f t="shared" ref="O3:O52" si="0">IF(SUM(G3,I3,,M3)=0,"",AVERAGE(G3,I3,K3,M3))</f>
        <v>79</v>
      </c>
      <c r="P3" s="100">
        <f t="shared" ref="P3:P52" si="1">SUM(H3,J3,L3,N3)</f>
        <v>0</v>
      </c>
      <c r="Q3" s="101" t="str">
        <f t="shared" ref="Q3:Q52" si="2">IF(O3="","",IF(O3&gt;=85,"5",IF(O3&gt;=70,"4",IF(O3&gt;=45,"3",IF(O3&gt;=44,"2","1")))))</f>
        <v>4</v>
      </c>
      <c r="R3" s="131" t="str">
        <f t="shared" ref="R3:R52" si="3">IF(O3&lt;44,"再試験",IF(P3&gt;$D$63,"補習",""))</f>
        <v/>
      </c>
      <c r="T3" s="30" t="s">
        <v>96</v>
      </c>
      <c r="AB3" s="129"/>
      <c r="AC3" s="80"/>
      <c r="AD3" s="79"/>
      <c r="AE3" s="77"/>
      <c r="AF3" s="77"/>
    </row>
    <row r="4" spans="1:32" ht="15" customHeight="1" x14ac:dyDescent="0.15">
      <c r="A4" s="238"/>
      <c r="B4" s="239"/>
      <c r="C4" s="236"/>
      <c r="D4" s="111">
        <f t="shared" ref="D4:D52" si="4">D3+1</f>
        <v>2</v>
      </c>
      <c r="E4" s="82">
        <v>19023</v>
      </c>
      <c r="F4" s="87" t="s">
        <v>117</v>
      </c>
      <c r="G4" s="89">
        <v>44</v>
      </c>
      <c r="H4" s="80">
        <v>11</v>
      </c>
      <c r="I4" s="89"/>
      <c r="J4" s="89"/>
      <c r="K4" s="89"/>
      <c r="L4" s="89"/>
      <c r="M4" s="89"/>
      <c r="N4" s="93"/>
      <c r="O4" s="99">
        <f t="shared" si="0"/>
        <v>44</v>
      </c>
      <c r="P4" s="100">
        <f t="shared" si="1"/>
        <v>11</v>
      </c>
      <c r="Q4" s="101" t="str">
        <f t="shared" si="2"/>
        <v>2</v>
      </c>
      <c r="R4" s="131" t="str">
        <f t="shared" si="3"/>
        <v>補習</v>
      </c>
      <c r="T4" s="30" t="s">
        <v>64</v>
      </c>
      <c r="AB4" s="129"/>
      <c r="AC4" s="80"/>
      <c r="AD4" s="79"/>
      <c r="AE4" s="77"/>
      <c r="AF4" s="77"/>
    </row>
    <row r="5" spans="1:32" ht="15" customHeight="1" x14ac:dyDescent="0.15">
      <c r="A5" s="238"/>
      <c r="B5" s="239"/>
      <c r="C5" s="236"/>
      <c r="D5" s="111">
        <f t="shared" si="4"/>
        <v>3</v>
      </c>
      <c r="E5" s="82">
        <v>19028</v>
      </c>
      <c r="F5" s="87" t="s">
        <v>109</v>
      </c>
      <c r="G5" s="89">
        <v>75</v>
      </c>
      <c r="H5" s="80">
        <v>0</v>
      </c>
      <c r="I5" s="89"/>
      <c r="J5" s="89"/>
      <c r="K5" s="89"/>
      <c r="L5" s="89"/>
      <c r="M5" s="89"/>
      <c r="N5" s="93"/>
      <c r="O5" s="99">
        <f t="shared" si="0"/>
        <v>75</v>
      </c>
      <c r="P5" s="100">
        <f t="shared" si="1"/>
        <v>0</v>
      </c>
      <c r="Q5" s="101" t="str">
        <f t="shared" si="2"/>
        <v>4</v>
      </c>
      <c r="R5" s="131" t="str">
        <f t="shared" si="3"/>
        <v/>
      </c>
      <c r="T5" s="30" t="s">
        <v>65</v>
      </c>
      <c r="AB5" s="129"/>
      <c r="AC5" s="80"/>
      <c r="AD5" s="79"/>
      <c r="AE5" s="77"/>
      <c r="AF5" s="77"/>
    </row>
    <row r="6" spans="1:32" ht="15" customHeight="1" x14ac:dyDescent="0.15">
      <c r="A6" s="238"/>
      <c r="B6" s="239"/>
      <c r="C6" s="236"/>
      <c r="D6" s="111">
        <f t="shared" si="4"/>
        <v>4</v>
      </c>
      <c r="E6" s="82">
        <v>19038</v>
      </c>
      <c r="F6" s="87" t="s">
        <v>110</v>
      </c>
      <c r="G6" s="89">
        <v>69</v>
      </c>
      <c r="H6" s="80">
        <v>0</v>
      </c>
      <c r="I6" s="89"/>
      <c r="J6" s="89"/>
      <c r="K6" s="89"/>
      <c r="L6" s="89"/>
      <c r="M6" s="89"/>
      <c r="N6" s="93"/>
      <c r="O6" s="99">
        <f t="shared" si="0"/>
        <v>69</v>
      </c>
      <c r="P6" s="100">
        <f t="shared" si="1"/>
        <v>0</v>
      </c>
      <c r="Q6" s="101" t="str">
        <f t="shared" si="2"/>
        <v>3</v>
      </c>
      <c r="R6" s="131" t="str">
        <f t="shared" si="3"/>
        <v/>
      </c>
      <c r="T6" s="30" t="s">
        <v>66</v>
      </c>
      <c r="AB6" s="129"/>
      <c r="AC6" s="80"/>
      <c r="AD6" s="79"/>
      <c r="AE6" s="77"/>
      <c r="AF6" s="77"/>
    </row>
    <row r="7" spans="1:32" ht="15" customHeight="1" x14ac:dyDescent="0.15">
      <c r="A7" s="240"/>
      <c r="B7" s="241"/>
      <c r="C7" s="237"/>
      <c r="D7" s="111">
        <f t="shared" si="4"/>
        <v>5</v>
      </c>
      <c r="E7" s="82">
        <v>19041</v>
      </c>
      <c r="F7" s="87" t="s">
        <v>111</v>
      </c>
      <c r="G7" s="89">
        <v>45</v>
      </c>
      <c r="H7" s="80">
        <v>8</v>
      </c>
      <c r="I7" s="89"/>
      <c r="J7" s="89"/>
      <c r="K7" s="89"/>
      <c r="L7" s="89"/>
      <c r="M7" s="89"/>
      <c r="N7" s="93"/>
      <c r="O7" s="99">
        <f t="shared" si="0"/>
        <v>45</v>
      </c>
      <c r="P7" s="100">
        <f t="shared" si="1"/>
        <v>8</v>
      </c>
      <c r="Q7" s="101" t="str">
        <f t="shared" si="2"/>
        <v>3</v>
      </c>
      <c r="R7" s="131" t="str">
        <f t="shared" si="3"/>
        <v/>
      </c>
      <c r="U7" s="30" t="s">
        <v>70</v>
      </c>
      <c r="AB7" s="129"/>
      <c r="AC7" s="80"/>
      <c r="AD7" s="79"/>
      <c r="AE7" s="77"/>
      <c r="AF7" s="77"/>
    </row>
    <row r="8" spans="1:32" ht="15" customHeight="1" x14ac:dyDescent="0.15">
      <c r="A8" s="238" t="s">
        <v>92</v>
      </c>
      <c r="B8" s="239"/>
      <c r="C8" s="235" t="str">
        <f ca="1">RIGHT(CELL("filename",A1),LEN(CELL("filename",A1))-FIND("]",CELL("filename",A1)))</f>
        <v>FP①</v>
      </c>
      <c r="D8" s="111">
        <f t="shared" si="4"/>
        <v>6</v>
      </c>
      <c r="E8" s="82">
        <v>19052</v>
      </c>
      <c r="F8" s="87" t="s">
        <v>112</v>
      </c>
      <c r="G8" s="89">
        <v>53</v>
      </c>
      <c r="H8" s="80">
        <v>15</v>
      </c>
      <c r="I8" s="89"/>
      <c r="J8" s="89"/>
      <c r="K8" s="89"/>
      <c r="L8" s="89"/>
      <c r="M8" s="89"/>
      <c r="N8" s="93"/>
      <c r="O8" s="99">
        <f t="shared" si="0"/>
        <v>53</v>
      </c>
      <c r="P8" s="100">
        <f t="shared" si="1"/>
        <v>15</v>
      </c>
      <c r="Q8" s="101" t="str">
        <f t="shared" si="2"/>
        <v>3</v>
      </c>
      <c r="R8" s="131" t="str">
        <f t="shared" si="3"/>
        <v>補習</v>
      </c>
      <c r="T8" s="30"/>
      <c r="U8" s="30" t="s">
        <v>72</v>
      </c>
    </row>
    <row r="9" spans="1:32" ht="15" customHeight="1" x14ac:dyDescent="0.15">
      <c r="A9" s="238"/>
      <c r="B9" s="239"/>
      <c r="C9" s="236"/>
      <c r="D9" s="111">
        <f t="shared" si="4"/>
        <v>7</v>
      </c>
      <c r="E9" s="82">
        <v>19059</v>
      </c>
      <c r="F9" s="87" t="s">
        <v>113</v>
      </c>
      <c r="G9" s="89">
        <v>61</v>
      </c>
      <c r="H9" s="80">
        <v>0</v>
      </c>
      <c r="I9" s="89"/>
      <c r="J9" s="89"/>
      <c r="K9" s="89"/>
      <c r="L9" s="89"/>
      <c r="M9" s="89"/>
      <c r="N9" s="93"/>
      <c r="O9" s="99">
        <f t="shared" si="0"/>
        <v>61</v>
      </c>
      <c r="P9" s="100">
        <f t="shared" si="1"/>
        <v>0</v>
      </c>
      <c r="Q9" s="101" t="str">
        <f t="shared" si="2"/>
        <v>3</v>
      </c>
      <c r="R9" s="131" t="str">
        <f t="shared" si="3"/>
        <v/>
      </c>
      <c r="T9" s="30"/>
      <c r="AB9" s="129"/>
      <c r="AC9" s="80"/>
      <c r="AD9" s="79"/>
      <c r="AE9" s="77"/>
      <c r="AF9" s="77"/>
    </row>
    <row r="10" spans="1:32" ht="15" customHeight="1" x14ac:dyDescent="0.15">
      <c r="A10" s="238"/>
      <c r="B10" s="239"/>
      <c r="C10" s="236"/>
      <c r="D10" s="111">
        <f t="shared" si="4"/>
        <v>8</v>
      </c>
      <c r="E10" s="82">
        <v>19069</v>
      </c>
      <c r="F10" s="87" t="s">
        <v>114</v>
      </c>
      <c r="G10" s="89">
        <v>56</v>
      </c>
      <c r="H10" s="80">
        <v>12</v>
      </c>
      <c r="I10" s="89"/>
      <c r="J10" s="89"/>
      <c r="K10" s="89"/>
      <c r="L10" s="89"/>
      <c r="M10" s="89"/>
      <c r="N10" s="93"/>
      <c r="O10" s="99">
        <f t="shared" si="0"/>
        <v>56</v>
      </c>
      <c r="P10" s="100">
        <f t="shared" si="1"/>
        <v>12</v>
      </c>
      <c r="Q10" s="101" t="str">
        <f t="shared" si="2"/>
        <v>3</v>
      </c>
      <c r="R10" s="131" t="str">
        <f t="shared" si="3"/>
        <v>補習</v>
      </c>
      <c r="T10" s="30"/>
      <c r="U10" s="30" t="s">
        <v>71</v>
      </c>
      <c r="AB10" s="129"/>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31" t="str">
        <f t="shared" si="3"/>
        <v/>
      </c>
      <c r="AB11" s="129"/>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31" t="str">
        <f t="shared" si="3"/>
        <v/>
      </c>
      <c r="T12" s="30"/>
      <c r="AB12" s="129"/>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31" t="str">
        <f t="shared" si="3"/>
        <v/>
      </c>
      <c r="U13" s="30"/>
      <c r="AB13" s="129"/>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31" t="str">
        <f t="shared" si="3"/>
        <v/>
      </c>
      <c r="AB14" s="129"/>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31" t="str">
        <f t="shared" si="3"/>
        <v/>
      </c>
      <c r="AB15" s="129"/>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31" t="str">
        <f t="shared" si="3"/>
        <v/>
      </c>
      <c r="AB16" s="129"/>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31" t="str">
        <f t="shared" si="3"/>
        <v/>
      </c>
      <c r="AB17" s="129"/>
      <c r="AC17" s="80"/>
      <c r="AD17" s="79"/>
      <c r="AE17" s="77"/>
      <c r="AF17" s="77"/>
    </row>
    <row r="18" spans="1:32" ht="15" customHeight="1" x14ac:dyDescent="0.15">
      <c r="A18" s="242" t="s">
        <v>20</v>
      </c>
      <c r="B18" s="243"/>
      <c r="C18" s="251">
        <f>SUM(C23:C42)</f>
        <v>32</v>
      </c>
      <c r="D18" s="111">
        <f t="shared" si="4"/>
        <v>16</v>
      </c>
      <c r="E18" s="82"/>
      <c r="F18" s="87"/>
      <c r="G18" s="89"/>
      <c r="H18" s="89"/>
      <c r="I18" s="89"/>
      <c r="J18" s="89"/>
      <c r="K18" s="89"/>
      <c r="L18" s="89"/>
      <c r="M18" s="89"/>
      <c r="N18" s="93"/>
      <c r="O18" s="99" t="str">
        <f t="shared" si="0"/>
        <v/>
      </c>
      <c r="P18" s="100">
        <f t="shared" si="1"/>
        <v>0</v>
      </c>
      <c r="Q18" s="101" t="str">
        <f t="shared" si="2"/>
        <v/>
      </c>
      <c r="R18" s="131" t="str">
        <f t="shared" si="3"/>
        <v/>
      </c>
      <c r="AB18" s="129"/>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31" t="str">
        <f t="shared" si="3"/>
        <v/>
      </c>
      <c r="AB19" s="129"/>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31" t="str">
        <f t="shared" si="3"/>
        <v/>
      </c>
      <c r="AB20" s="129"/>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31" t="str">
        <f t="shared" si="3"/>
        <v/>
      </c>
      <c r="AB21" s="129"/>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31" t="str">
        <f t="shared" si="3"/>
        <v/>
      </c>
      <c r="AB22" s="129"/>
      <c r="AC22" s="80"/>
      <c r="AD22" s="79"/>
      <c r="AE22" s="77"/>
      <c r="AF22" s="77"/>
    </row>
    <row r="23" spans="1:32" ht="15" customHeight="1" x14ac:dyDescent="0.15">
      <c r="A23" s="242" t="s">
        <v>91</v>
      </c>
      <c r="B23" s="243"/>
      <c r="C23" s="248">
        <v>32</v>
      </c>
      <c r="D23" s="111">
        <f t="shared" si="4"/>
        <v>21</v>
      </c>
      <c r="E23" s="82"/>
      <c r="F23" s="87"/>
      <c r="G23" s="89"/>
      <c r="H23" s="89"/>
      <c r="I23" s="89"/>
      <c r="J23" s="89"/>
      <c r="K23" s="89"/>
      <c r="L23" s="89"/>
      <c r="M23" s="89"/>
      <c r="N23" s="93"/>
      <c r="O23" s="99" t="str">
        <f t="shared" si="0"/>
        <v/>
      </c>
      <c r="P23" s="100">
        <f t="shared" si="1"/>
        <v>0</v>
      </c>
      <c r="Q23" s="101" t="str">
        <f t="shared" si="2"/>
        <v/>
      </c>
      <c r="R23" s="131" t="str">
        <f t="shared" si="3"/>
        <v/>
      </c>
      <c r="AB23" s="129"/>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31" t="str">
        <f t="shared" si="3"/>
        <v/>
      </c>
      <c r="AB24" s="129"/>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31" t="str">
        <f t="shared" si="3"/>
        <v/>
      </c>
      <c r="AB25" s="129"/>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31" t="str">
        <f t="shared" si="3"/>
        <v/>
      </c>
      <c r="AB26" s="129"/>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31" t="str">
        <f t="shared" si="3"/>
        <v/>
      </c>
      <c r="AB27" s="129"/>
      <c r="AC27" s="80"/>
      <c r="AD27" s="79"/>
      <c r="AE27" s="77"/>
      <c r="AF27" s="77"/>
    </row>
    <row r="28" spans="1:32" ht="15" customHeight="1" x14ac:dyDescent="0.15">
      <c r="A28" s="242" t="s">
        <v>93</v>
      </c>
      <c r="B28" s="243"/>
      <c r="C28" s="248">
        <v>0</v>
      </c>
      <c r="D28" s="111">
        <f t="shared" si="4"/>
        <v>26</v>
      </c>
      <c r="E28" s="82"/>
      <c r="F28" s="87"/>
      <c r="G28" s="89"/>
      <c r="H28" s="89"/>
      <c r="I28" s="89"/>
      <c r="J28" s="89"/>
      <c r="K28" s="89"/>
      <c r="L28" s="89"/>
      <c r="M28" s="89"/>
      <c r="N28" s="93"/>
      <c r="O28" s="99" t="str">
        <f t="shared" si="0"/>
        <v/>
      </c>
      <c r="P28" s="100">
        <f t="shared" si="1"/>
        <v>0</v>
      </c>
      <c r="Q28" s="101" t="str">
        <f t="shared" si="2"/>
        <v/>
      </c>
      <c r="R28" s="131" t="str">
        <f t="shared" si="3"/>
        <v/>
      </c>
      <c r="AB28" s="129"/>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31" t="str">
        <f t="shared" si="3"/>
        <v/>
      </c>
      <c r="AB29" s="129"/>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31" t="str">
        <f t="shared" si="3"/>
        <v/>
      </c>
      <c r="AB30" s="129"/>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31"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31" t="str">
        <f t="shared" si="3"/>
        <v/>
      </c>
      <c r="AB32" s="129"/>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31" t="str">
        <f t="shared" si="3"/>
        <v/>
      </c>
      <c r="AB33" s="129"/>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31" t="str">
        <f t="shared" si="3"/>
        <v/>
      </c>
      <c r="AB34" s="129"/>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31" t="str">
        <f t="shared" si="3"/>
        <v/>
      </c>
      <c r="AB35" s="129"/>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31"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31"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31"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31"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31"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31" t="str">
        <f t="shared" si="3"/>
        <v/>
      </c>
    </row>
    <row r="42" spans="1:32" ht="15" customHeight="1" x14ac:dyDescent="0.15">
      <c r="A42" s="246"/>
      <c r="B42" s="247"/>
      <c r="C42" s="250"/>
      <c r="D42" s="112">
        <f t="shared" si="4"/>
        <v>40</v>
      </c>
      <c r="E42" s="130"/>
      <c r="F42" s="88"/>
      <c r="G42" s="91"/>
      <c r="H42" s="91"/>
      <c r="I42" s="91"/>
      <c r="J42" s="91"/>
      <c r="K42" s="91"/>
      <c r="L42" s="91"/>
      <c r="M42" s="91"/>
      <c r="N42" s="95"/>
      <c r="O42" s="103" t="str">
        <f t="shared" si="0"/>
        <v/>
      </c>
      <c r="P42" s="104">
        <f t="shared" si="1"/>
        <v>0</v>
      </c>
      <c r="Q42" s="101" t="str">
        <f t="shared" si="2"/>
        <v/>
      </c>
      <c r="R42" s="131" t="str">
        <f t="shared" si="3"/>
        <v/>
      </c>
    </row>
    <row r="43" spans="1:32" ht="15" customHeight="1" x14ac:dyDescent="0.15">
      <c r="A43" s="271" t="s">
        <v>21</v>
      </c>
      <c r="B43" s="278"/>
      <c r="C43" s="248" t="s">
        <v>105</v>
      </c>
      <c r="D43" s="112">
        <f t="shared" si="4"/>
        <v>41</v>
      </c>
      <c r="E43" s="130"/>
      <c r="F43" s="88"/>
      <c r="G43" s="91"/>
      <c r="H43" s="91"/>
      <c r="I43" s="91"/>
      <c r="J43" s="91"/>
      <c r="K43" s="91"/>
      <c r="L43" s="91"/>
      <c r="M43" s="91"/>
      <c r="N43" s="95"/>
      <c r="O43" s="103" t="str">
        <f t="shared" si="0"/>
        <v/>
      </c>
      <c r="P43" s="104">
        <f t="shared" si="1"/>
        <v>0</v>
      </c>
      <c r="Q43" s="101" t="str">
        <f t="shared" si="2"/>
        <v/>
      </c>
      <c r="R43" s="131" t="str">
        <f t="shared" si="3"/>
        <v/>
      </c>
    </row>
    <row r="44" spans="1:32" ht="15" customHeight="1" x14ac:dyDescent="0.15">
      <c r="A44" s="238"/>
      <c r="B44" s="279"/>
      <c r="C44" s="249"/>
      <c r="D44" s="112">
        <f t="shared" si="4"/>
        <v>42</v>
      </c>
      <c r="E44" s="130"/>
      <c r="F44" s="88"/>
      <c r="G44" s="91"/>
      <c r="H44" s="91"/>
      <c r="I44" s="91"/>
      <c r="J44" s="91"/>
      <c r="K44" s="91"/>
      <c r="L44" s="91"/>
      <c r="M44" s="91"/>
      <c r="N44" s="95"/>
      <c r="O44" s="103" t="str">
        <f t="shared" si="0"/>
        <v/>
      </c>
      <c r="P44" s="104">
        <f t="shared" si="1"/>
        <v>0</v>
      </c>
      <c r="Q44" s="101" t="str">
        <f t="shared" si="2"/>
        <v/>
      </c>
      <c r="R44" s="131" t="str">
        <f t="shared" si="3"/>
        <v/>
      </c>
    </row>
    <row r="45" spans="1:32" ht="15" customHeight="1" x14ac:dyDescent="0.15">
      <c r="A45" s="238"/>
      <c r="B45" s="279"/>
      <c r="C45" s="249"/>
      <c r="D45" s="112">
        <f t="shared" si="4"/>
        <v>43</v>
      </c>
      <c r="E45" s="130"/>
      <c r="F45" s="88"/>
      <c r="G45" s="91"/>
      <c r="H45" s="91"/>
      <c r="I45" s="91"/>
      <c r="J45" s="91"/>
      <c r="K45" s="91"/>
      <c r="L45" s="91"/>
      <c r="M45" s="91"/>
      <c r="N45" s="95"/>
      <c r="O45" s="103" t="str">
        <f t="shared" si="0"/>
        <v/>
      </c>
      <c r="P45" s="104">
        <f t="shared" si="1"/>
        <v>0</v>
      </c>
      <c r="Q45" s="101" t="str">
        <f t="shared" si="2"/>
        <v/>
      </c>
      <c r="R45" s="131" t="str">
        <f t="shared" si="3"/>
        <v/>
      </c>
    </row>
    <row r="46" spans="1:32" ht="15" customHeight="1" x14ac:dyDescent="0.15">
      <c r="A46" s="238"/>
      <c r="B46" s="279"/>
      <c r="C46" s="249"/>
      <c r="D46" s="112">
        <f t="shared" si="4"/>
        <v>44</v>
      </c>
      <c r="E46" s="130"/>
      <c r="F46" s="88"/>
      <c r="G46" s="91"/>
      <c r="H46" s="91"/>
      <c r="I46" s="91"/>
      <c r="J46" s="91"/>
      <c r="K46" s="91"/>
      <c r="L46" s="91"/>
      <c r="M46" s="91"/>
      <c r="N46" s="95"/>
      <c r="O46" s="103" t="str">
        <f t="shared" si="0"/>
        <v/>
      </c>
      <c r="P46" s="104">
        <f t="shared" si="1"/>
        <v>0</v>
      </c>
      <c r="Q46" s="101" t="str">
        <f t="shared" si="2"/>
        <v/>
      </c>
      <c r="R46" s="131" t="str">
        <f t="shared" si="3"/>
        <v/>
      </c>
    </row>
    <row r="47" spans="1:32" ht="15" customHeight="1" x14ac:dyDescent="0.15">
      <c r="A47" s="238"/>
      <c r="B47" s="279"/>
      <c r="C47" s="249"/>
      <c r="D47" s="112">
        <f t="shared" si="4"/>
        <v>45</v>
      </c>
      <c r="E47" s="130"/>
      <c r="F47" s="88"/>
      <c r="G47" s="91"/>
      <c r="H47" s="91"/>
      <c r="I47" s="91"/>
      <c r="J47" s="91"/>
      <c r="K47" s="91"/>
      <c r="L47" s="91"/>
      <c r="M47" s="91"/>
      <c r="N47" s="95"/>
      <c r="O47" s="103" t="str">
        <f t="shared" si="0"/>
        <v/>
      </c>
      <c r="P47" s="104">
        <f t="shared" si="1"/>
        <v>0</v>
      </c>
      <c r="Q47" s="101" t="str">
        <f t="shared" si="2"/>
        <v/>
      </c>
      <c r="R47" s="131" t="str">
        <f t="shared" si="3"/>
        <v/>
      </c>
    </row>
    <row r="48" spans="1:32" ht="15" customHeight="1" x14ac:dyDescent="0.15">
      <c r="A48" s="238"/>
      <c r="B48" s="279"/>
      <c r="C48" s="249"/>
      <c r="D48" s="112">
        <f t="shared" si="4"/>
        <v>46</v>
      </c>
      <c r="E48" s="130"/>
      <c r="F48" s="88"/>
      <c r="G48" s="91"/>
      <c r="H48" s="91"/>
      <c r="I48" s="91"/>
      <c r="J48" s="91"/>
      <c r="K48" s="91"/>
      <c r="L48" s="91"/>
      <c r="M48" s="91"/>
      <c r="N48" s="95"/>
      <c r="O48" s="103" t="str">
        <f t="shared" si="0"/>
        <v/>
      </c>
      <c r="P48" s="104">
        <f t="shared" si="1"/>
        <v>0</v>
      </c>
      <c r="Q48" s="101" t="str">
        <f t="shared" si="2"/>
        <v/>
      </c>
      <c r="R48" s="131" t="str">
        <f t="shared" si="3"/>
        <v/>
      </c>
    </row>
    <row r="49" spans="1:18" ht="15" customHeight="1" x14ac:dyDescent="0.15">
      <c r="A49" s="240"/>
      <c r="B49" s="280"/>
      <c r="C49" s="250"/>
      <c r="D49" s="112">
        <f t="shared" si="4"/>
        <v>47</v>
      </c>
      <c r="E49" s="130"/>
      <c r="F49" s="88"/>
      <c r="G49" s="91"/>
      <c r="H49" s="91"/>
      <c r="I49" s="91"/>
      <c r="J49" s="91"/>
      <c r="K49" s="91"/>
      <c r="L49" s="91"/>
      <c r="M49" s="91"/>
      <c r="N49" s="95"/>
      <c r="O49" s="103" t="str">
        <f t="shared" si="0"/>
        <v/>
      </c>
      <c r="P49" s="104">
        <f t="shared" si="1"/>
        <v>0</v>
      </c>
      <c r="Q49" s="101" t="str">
        <f t="shared" si="2"/>
        <v/>
      </c>
      <c r="R49" s="131" t="str">
        <f t="shared" si="3"/>
        <v/>
      </c>
    </row>
    <row r="50" spans="1:18" ht="15" customHeight="1" x14ac:dyDescent="0.15">
      <c r="A50" s="281" t="s">
        <v>24</v>
      </c>
      <c r="B50" s="282"/>
      <c r="C50" s="249" t="s">
        <v>105</v>
      </c>
      <c r="D50" s="112">
        <f t="shared" si="4"/>
        <v>48</v>
      </c>
      <c r="E50" s="130"/>
      <c r="F50" s="88"/>
      <c r="G50" s="91"/>
      <c r="H50" s="91"/>
      <c r="I50" s="91"/>
      <c r="J50" s="91"/>
      <c r="K50" s="91"/>
      <c r="L50" s="91"/>
      <c r="M50" s="91"/>
      <c r="N50" s="95"/>
      <c r="O50" s="103" t="str">
        <f t="shared" si="0"/>
        <v/>
      </c>
      <c r="P50" s="104">
        <f t="shared" si="1"/>
        <v>0</v>
      </c>
      <c r="Q50" s="101" t="str">
        <f t="shared" si="2"/>
        <v/>
      </c>
      <c r="R50" s="131" t="str">
        <f t="shared" si="3"/>
        <v/>
      </c>
    </row>
    <row r="51" spans="1:18" ht="15" customHeight="1" x14ac:dyDescent="0.15">
      <c r="A51" s="281"/>
      <c r="B51" s="282"/>
      <c r="C51" s="249"/>
      <c r="D51" s="112">
        <f t="shared" si="4"/>
        <v>49</v>
      </c>
      <c r="E51" s="130"/>
      <c r="F51" s="53"/>
      <c r="G51" s="92"/>
      <c r="H51" s="92"/>
      <c r="I51" s="92"/>
      <c r="J51" s="92"/>
      <c r="K51" s="92"/>
      <c r="L51" s="92"/>
      <c r="M51" s="92"/>
      <c r="N51" s="96"/>
      <c r="O51" s="103" t="str">
        <f t="shared" si="0"/>
        <v/>
      </c>
      <c r="P51" s="104">
        <f t="shared" si="1"/>
        <v>0</v>
      </c>
      <c r="Q51" s="101" t="str">
        <f t="shared" si="2"/>
        <v/>
      </c>
      <c r="R51" s="131" t="str">
        <f t="shared" si="3"/>
        <v/>
      </c>
    </row>
    <row r="52" spans="1:18" ht="15" customHeight="1" thickBot="1" x14ac:dyDescent="0.2">
      <c r="A52" s="281"/>
      <c r="B52" s="282"/>
      <c r="C52" s="249"/>
      <c r="D52" s="112">
        <f t="shared" si="4"/>
        <v>50</v>
      </c>
      <c r="E52" s="130"/>
      <c r="F52" s="53"/>
      <c r="G52" s="92"/>
      <c r="H52" s="92"/>
      <c r="I52" s="92"/>
      <c r="J52" s="92"/>
      <c r="K52" s="92"/>
      <c r="L52" s="92"/>
      <c r="M52" s="92"/>
      <c r="N52" s="96"/>
      <c r="O52" s="105" t="str">
        <f t="shared" si="0"/>
        <v/>
      </c>
      <c r="P52" s="106">
        <f t="shared" si="1"/>
        <v>0</v>
      </c>
      <c r="Q52" s="101" t="str">
        <f t="shared" si="2"/>
        <v/>
      </c>
      <c r="R52" s="131" t="str">
        <f t="shared" si="3"/>
        <v/>
      </c>
    </row>
    <row r="53" spans="1:18" ht="12" customHeight="1" x14ac:dyDescent="0.15">
      <c r="A53" s="281"/>
      <c r="B53" s="282"/>
      <c r="C53" s="249"/>
      <c r="D53" s="276" t="s">
        <v>25</v>
      </c>
      <c r="E53" s="276"/>
      <c r="F53" s="276"/>
      <c r="G53" s="134"/>
      <c r="H53" s="134"/>
      <c r="I53" s="134"/>
      <c r="J53" s="134"/>
      <c r="K53" s="134"/>
      <c r="L53" s="134"/>
      <c r="M53" s="134"/>
      <c r="N53" s="134"/>
      <c r="O53" s="114"/>
      <c r="P53" s="114"/>
      <c r="Q53" s="134"/>
      <c r="R53" s="115"/>
    </row>
    <row r="54" spans="1:18" ht="12" customHeight="1" x14ac:dyDescent="0.15">
      <c r="A54" s="281"/>
      <c r="B54" s="282"/>
      <c r="C54" s="249"/>
      <c r="D54" s="277"/>
      <c r="E54" s="277"/>
      <c r="F54" s="277"/>
      <c r="G54" s="135"/>
      <c r="H54" s="135"/>
      <c r="I54" s="135"/>
      <c r="J54" s="135"/>
      <c r="K54" s="135"/>
      <c r="L54" s="135"/>
      <c r="M54" s="135"/>
      <c r="N54" s="135"/>
      <c r="O54" s="135"/>
      <c r="P54" s="135"/>
      <c r="Q54" s="135"/>
      <c r="R54" s="117"/>
    </row>
    <row r="55" spans="1:18" ht="12" customHeight="1" x14ac:dyDescent="0.15">
      <c r="A55" s="281"/>
      <c r="B55" s="282"/>
      <c r="C55" s="249"/>
      <c r="D55" s="274" t="s">
        <v>26</v>
      </c>
      <c r="E55" s="274"/>
      <c r="F55" s="274"/>
      <c r="G55" s="132"/>
      <c r="H55" s="132"/>
      <c r="I55" s="132"/>
      <c r="J55" s="132"/>
      <c r="K55" s="132"/>
      <c r="L55" s="132"/>
      <c r="M55" s="132"/>
      <c r="N55" s="132"/>
      <c r="O55" s="114"/>
      <c r="P55" s="114"/>
      <c r="Q55" s="132"/>
      <c r="R55" s="119"/>
    </row>
    <row r="56" spans="1:18" ht="12" customHeight="1" thickBot="1" x14ac:dyDescent="0.2">
      <c r="A56" s="283"/>
      <c r="B56" s="284"/>
      <c r="C56" s="285"/>
      <c r="D56" s="275"/>
      <c r="E56" s="275"/>
      <c r="F56" s="275"/>
      <c r="G56" s="133"/>
      <c r="H56" s="133"/>
      <c r="I56" s="133"/>
      <c r="J56" s="133"/>
      <c r="K56" s="133"/>
      <c r="L56" s="133"/>
      <c r="M56" s="133"/>
      <c r="N56" s="133"/>
      <c r="O56" s="133"/>
      <c r="P56" s="133"/>
      <c r="Q56" s="133"/>
      <c r="R56" s="121"/>
    </row>
    <row r="58" spans="1:18" x14ac:dyDescent="0.15">
      <c r="C58" s="2" t="s">
        <v>89</v>
      </c>
      <c r="D58" s="97" t="s">
        <v>90</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zoomScaleNormal="100" zoomScaleSheetLayoutView="100" workbookViewId="0">
      <selection activeCell="J8" sqref="J8"/>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100</v>
      </c>
      <c r="H3" s="139">
        <v>0</v>
      </c>
      <c r="I3" s="89"/>
      <c r="J3" s="89">
        <v>0</v>
      </c>
      <c r="K3" s="89"/>
      <c r="L3" s="89"/>
      <c r="M3" s="89"/>
      <c r="N3" s="93"/>
      <c r="O3" s="99">
        <f t="shared" ref="O3:O52" si="0">IF(SUM(G3,I3,,M3)=0,"",AVERAGE(G3,I3,K3,M3))</f>
        <v>100</v>
      </c>
      <c r="P3" s="100">
        <f t="shared" ref="P3:P52" si="1">SUM(H3,J3,L3,N3)</f>
        <v>0</v>
      </c>
      <c r="Q3" s="101" t="str">
        <f t="shared" ref="Q3:Q52" si="2">IF(O3="","",IF(O3&gt;=85,"5",IF(O3&gt;=70,"4",IF(O3&gt;=45,"3",IF(O3&gt;=44,"2","1")))))</f>
        <v>5</v>
      </c>
      <c r="R3" s="131" t="str">
        <f t="shared" ref="R3:R52" si="3">IF(O3&lt;44,"再試験",IF(P3&gt;$D$63,"補習",""))</f>
        <v/>
      </c>
      <c r="T3" s="30" t="s">
        <v>96</v>
      </c>
      <c r="AB3" s="129"/>
      <c r="AC3" s="80"/>
      <c r="AD3" s="79"/>
      <c r="AE3" s="77"/>
      <c r="AF3" s="77"/>
    </row>
    <row r="4" spans="1:32" ht="15" customHeight="1" x14ac:dyDescent="0.15">
      <c r="A4" s="238"/>
      <c r="B4" s="239"/>
      <c r="C4" s="236"/>
      <c r="D4" s="111">
        <f t="shared" ref="D4:D52" si="4">D3+1</f>
        <v>2</v>
      </c>
      <c r="E4" s="82">
        <v>19023</v>
      </c>
      <c r="F4" s="87" t="s">
        <v>117</v>
      </c>
      <c r="G4" s="89">
        <v>44</v>
      </c>
      <c r="H4" s="80">
        <v>7</v>
      </c>
      <c r="I4" s="89"/>
      <c r="J4" s="89">
        <v>10</v>
      </c>
      <c r="K4" s="89"/>
      <c r="L4" s="89"/>
      <c r="M4" s="89"/>
      <c r="N4" s="93"/>
      <c r="O4" s="99">
        <f t="shared" si="0"/>
        <v>44</v>
      </c>
      <c r="P4" s="100">
        <f t="shared" si="1"/>
        <v>17</v>
      </c>
      <c r="Q4" s="101" t="str">
        <f t="shared" si="2"/>
        <v>2</v>
      </c>
      <c r="R4" s="131" t="str">
        <f t="shared" si="3"/>
        <v>補習</v>
      </c>
      <c r="T4" s="30" t="s">
        <v>64</v>
      </c>
      <c r="AB4" s="129"/>
      <c r="AC4" s="80"/>
      <c r="AD4" s="79"/>
      <c r="AE4" s="77"/>
      <c r="AF4" s="77"/>
    </row>
    <row r="5" spans="1:32" ht="15" customHeight="1" x14ac:dyDescent="0.15">
      <c r="A5" s="238"/>
      <c r="B5" s="239"/>
      <c r="C5" s="236"/>
      <c r="D5" s="111">
        <f t="shared" si="4"/>
        <v>3</v>
      </c>
      <c r="E5" s="82">
        <v>19028</v>
      </c>
      <c r="F5" s="87" t="s">
        <v>109</v>
      </c>
      <c r="G5" s="89">
        <v>100</v>
      </c>
      <c r="H5" s="80">
        <v>0</v>
      </c>
      <c r="I5" s="89"/>
      <c r="J5" s="89">
        <v>2</v>
      </c>
      <c r="K5" s="89"/>
      <c r="L5" s="89"/>
      <c r="M5" s="89"/>
      <c r="N5" s="93"/>
      <c r="O5" s="99">
        <f t="shared" si="0"/>
        <v>100</v>
      </c>
      <c r="P5" s="100">
        <f t="shared" si="1"/>
        <v>2</v>
      </c>
      <c r="Q5" s="101" t="str">
        <f t="shared" si="2"/>
        <v>5</v>
      </c>
      <c r="R5" s="131" t="str">
        <f t="shared" si="3"/>
        <v/>
      </c>
      <c r="T5" s="30" t="s">
        <v>65</v>
      </c>
      <c r="AB5" s="129"/>
      <c r="AC5" s="80"/>
      <c r="AD5" s="79"/>
      <c r="AE5" s="77"/>
      <c r="AF5" s="77"/>
    </row>
    <row r="6" spans="1:32" ht="15" customHeight="1" x14ac:dyDescent="0.15">
      <c r="A6" s="238"/>
      <c r="B6" s="239"/>
      <c r="C6" s="236"/>
      <c r="D6" s="111">
        <f t="shared" si="4"/>
        <v>4</v>
      </c>
      <c r="E6" s="82">
        <v>19038</v>
      </c>
      <c r="F6" s="87" t="s">
        <v>110</v>
      </c>
      <c r="G6" s="89">
        <v>62</v>
      </c>
      <c r="H6" s="80">
        <v>0</v>
      </c>
      <c r="I6" s="89"/>
      <c r="J6" s="89">
        <v>0</v>
      </c>
      <c r="K6" s="89"/>
      <c r="L6" s="89"/>
      <c r="M6" s="89"/>
      <c r="N6" s="93"/>
      <c r="O6" s="99">
        <f t="shared" si="0"/>
        <v>62</v>
      </c>
      <c r="P6" s="100">
        <f t="shared" si="1"/>
        <v>0</v>
      </c>
      <c r="Q6" s="101" t="str">
        <f t="shared" si="2"/>
        <v>3</v>
      </c>
      <c r="R6" s="131" t="str">
        <f t="shared" si="3"/>
        <v/>
      </c>
      <c r="T6" s="30" t="s">
        <v>66</v>
      </c>
      <c r="AB6" s="129"/>
      <c r="AC6" s="80"/>
      <c r="AD6" s="79"/>
      <c r="AE6" s="77"/>
      <c r="AF6" s="77"/>
    </row>
    <row r="7" spans="1:32" ht="15" customHeight="1" x14ac:dyDescent="0.15">
      <c r="A7" s="240"/>
      <c r="B7" s="241"/>
      <c r="C7" s="237"/>
      <c r="D7" s="111">
        <f t="shared" si="4"/>
        <v>5</v>
      </c>
      <c r="E7" s="82">
        <v>19041</v>
      </c>
      <c r="F7" s="87" t="s">
        <v>111</v>
      </c>
      <c r="G7" s="89">
        <v>85</v>
      </c>
      <c r="H7" s="80">
        <v>6</v>
      </c>
      <c r="I7" s="89"/>
      <c r="J7" s="89">
        <v>14</v>
      </c>
      <c r="K7" s="89"/>
      <c r="L7" s="89"/>
      <c r="M7" s="89"/>
      <c r="N7" s="93"/>
      <c r="O7" s="99">
        <f t="shared" si="0"/>
        <v>85</v>
      </c>
      <c r="P7" s="100">
        <f t="shared" si="1"/>
        <v>20</v>
      </c>
      <c r="Q7" s="101" t="str">
        <f t="shared" si="2"/>
        <v>5</v>
      </c>
      <c r="R7" s="131" t="str">
        <f t="shared" si="3"/>
        <v>補習</v>
      </c>
      <c r="U7" s="30" t="s">
        <v>70</v>
      </c>
      <c r="AB7" s="129"/>
      <c r="AC7" s="80"/>
      <c r="AD7" s="79"/>
      <c r="AE7" s="77"/>
      <c r="AF7" s="77"/>
    </row>
    <row r="8" spans="1:32" ht="15" customHeight="1" x14ac:dyDescent="0.15">
      <c r="A8" s="238" t="s">
        <v>92</v>
      </c>
      <c r="B8" s="239"/>
      <c r="C8" s="235" t="str">
        <f ca="1">RIGHT(CELL("filename",A1),LEN(CELL("filename",A1))-FIND("]",CELL("filename",A1)))</f>
        <v>プレゼンテーション</v>
      </c>
      <c r="D8" s="111">
        <f t="shared" si="4"/>
        <v>6</v>
      </c>
      <c r="E8" s="82">
        <v>19052</v>
      </c>
      <c r="F8" s="87" t="s">
        <v>112</v>
      </c>
      <c r="G8" s="89">
        <v>44</v>
      </c>
      <c r="H8" s="80">
        <v>9</v>
      </c>
      <c r="I8" s="89"/>
      <c r="J8" s="89">
        <v>13</v>
      </c>
      <c r="K8" s="89"/>
      <c r="L8" s="89"/>
      <c r="M8" s="89"/>
      <c r="N8" s="93"/>
      <c r="O8" s="99">
        <f t="shared" si="0"/>
        <v>44</v>
      </c>
      <c r="P8" s="100">
        <f t="shared" si="1"/>
        <v>22</v>
      </c>
      <c r="Q8" s="101" t="str">
        <f t="shared" si="2"/>
        <v>2</v>
      </c>
      <c r="R8" s="131" t="str">
        <f t="shared" si="3"/>
        <v>補習</v>
      </c>
      <c r="T8" s="30"/>
      <c r="U8" s="30" t="s">
        <v>72</v>
      </c>
    </row>
    <row r="9" spans="1:32" ht="15" customHeight="1" x14ac:dyDescent="0.15">
      <c r="A9" s="238"/>
      <c r="B9" s="239"/>
      <c r="C9" s="236"/>
      <c r="D9" s="111">
        <f t="shared" si="4"/>
        <v>7</v>
      </c>
      <c r="E9" s="82">
        <v>19059</v>
      </c>
      <c r="F9" s="87" t="s">
        <v>113</v>
      </c>
      <c r="G9" s="89">
        <v>68</v>
      </c>
      <c r="H9" s="80">
        <v>0</v>
      </c>
      <c r="I9" s="89"/>
      <c r="J9" s="89">
        <v>0</v>
      </c>
      <c r="K9" s="89"/>
      <c r="L9" s="89"/>
      <c r="M9" s="89"/>
      <c r="N9" s="93"/>
      <c r="O9" s="99">
        <f t="shared" si="0"/>
        <v>68</v>
      </c>
      <c r="P9" s="100">
        <f t="shared" si="1"/>
        <v>0</v>
      </c>
      <c r="Q9" s="101" t="str">
        <f t="shared" si="2"/>
        <v>3</v>
      </c>
      <c r="R9" s="131" t="str">
        <f t="shared" si="3"/>
        <v/>
      </c>
      <c r="T9" s="30"/>
      <c r="AB9" s="129"/>
      <c r="AC9" s="80"/>
      <c r="AD9" s="79"/>
      <c r="AE9" s="77"/>
      <c r="AF9" s="77"/>
    </row>
    <row r="10" spans="1:32" ht="15" customHeight="1" x14ac:dyDescent="0.15">
      <c r="A10" s="238"/>
      <c r="B10" s="239"/>
      <c r="C10" s="236"/>
      <c r="D10" s="111">
        <f t="shared" si="4"/>
        <v>8</v>
      </c>
      <c r="E10" s="82">
        <v>19069</v>
      </c>
      <c r="F10" s="87" t="s">
        <v>114</v>
      </c>
      <c r="G10" s="89">
        <v>99</v>
      </c>
      <c r="H10" s="80">
        <v>9</v>
      </c>
      <c r="I10" s="89"/>
      <c r="J10" s="89">
        <v>0</v>
      </c>
      <c r="K10" s="89"/>
      <c r="L10" s="89"/>
      <c r="M10" s="89"/>
      <c r="N10" s="93"/>
      <c r="O10" s="99">
        <f t="shared" si="0"/>
        <v>99</v>
      </c>
      <c r="P10" s="100">
        <f t="shared" si="1"/>
        <v>9</v>
      </c>
      <c r="Q10" s="101" t="str">
        <f t="shared" si="2"/>
        <v>5</v>
      </c>
      <c r="R10" s="131" t="str">
        <f t="shared" si="3"/>
        <v/>
      </c>
      <c r="T10" s="30"/>
      <c r="U10" s="30" t="s">
        <v>71</v>
      </c>
      <c r="AB10" s="129"/>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31" t="str">
        <f t="shared" si="3"/>
        <v/>
      </c>
      <c r="AB11" s="129"/>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31" t="str">
        <f t="shared" si="3"/>
        <v/>
      </c>
      <c r="T12" s="30"/>
      <c r="AB12" s="129"/>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31" t="str">
        <f t="shared" si="3"/>
        <v/>
      </c>
      <c r="U13" s="30"/>
      <c r="AB13" s="129"/>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31" t="str">
        <f t="shared" si="3"/>
        <v/>
      </c>
      <c r="AB14" s="129"/>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31" t="str">
        <f t="shared" si="3"/>
        <v/>
      </c>
      <c r="AB15" s="129"/>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31" t="str">
        <f t="shared" si="3"/>
        <v/>
      </c>
      <c r="AB16" s="129"/>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31" t="str">
        <f t="shared" si="3"/>
        <v/>
      </c>
      <c r="AB17" s="129"/>
      <c r="AC17" s="80"/>
      <c r="AD17" s="79"/>
      <c r="AE17" s="77"/>
      <c r="AF17" s="77"/>
    </row>
    <row r="18" spans="1:32" ht="15" customHeight="1" x14ac:dyDescent="0.15">
      <c r="A18" s="242" t="s">
        <v>20</v>
      </c>
      <c r="B18" s="243"/>
      <c r="C18" s="251">
        <f>SUM(C23:C42)</f>
        <v>32</v>
      </c>
      <c r="D18" s="111">
        <f t="shared" si="4"/>
        <v>16</v>
      </c>
      <c r="E18" s="82"/>
      <c r="F18" s="87"/>
      <c r="G18" s="89"/>
      <c r="H18" s="89"/>
      <c r="I18" s="89"/>
      <c r="J18" s="89"/>
      <c r="K18" s="89"/>
      <c r="L18" s="89"/>
      <c r="M18" s="89"/>
      <c r="N18" s="93"/>
      <c r="O18" s="99" t="str">
        <f t="shared" si="0"/>
        <v/>
      </c>
      <c r="P18" s="100">
        <f t="shared" si="1"/>
        <v>0</v>
      </c>
      <c r="Q18" s="101" t="str">
        <f t="shared" si="2"/>
        <v/>
      </c>
      <c r="R18" s="131" t="str">
        <f t="shared" si="3"/>
        <v/>
      </c>
      <c r="AB18" s="129"/>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31" t="str">
        <f t="shared" si="3"/>
        <v/>
      </c>
      <c r="AB19" s="129"/>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31" t="str">
        <f t="shared" si="3"/>
        <v/>
      </c>
      <c r="AB20" s="129"/>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31" t="str">
        <f t="shared" si="3"/>
        <v/>
      </c>
      <c r="AB21" s="129"/>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31" t="str">
        <f t="shared" si="3"/>
        <v/>
      </c>
      <c r="AB22" s="129"/>
      <c r="AC22" s="80"/>
      <c r="AD22" s="79"/>
      <c r="AE22" s="77"/>
      <c r="AF22" s="77"/>
    </row>
    <row r="23" spans="1:32" ht="15" customHeight="1" x14ac:dyDescent="0.15">
      <c r="A23" s="242" t="s">
        <v>91</v>
      </c>
      <c r="B23" s="243"/>
      <c r="C23" s="248">
        <v>32</v>
      </c>
      <c r="D23" s="111">
        <f t="shared" si="4"/>
        <v>21</v>
      </c>
      <c r="E23" s="82"/>
      <c r="F23" s="87"/>
      <c r="G23" s="89"/>
      <c r="H23" s="89"/>
      <c r="I23" s="89"/>
      <c r="J23" s="89"/>
      <c r="K23" s="89"/>
      <c r="L23" s="89"/>
      <c r="M23" s="89"/>
      <c r="N23" s="93"/>
      <c r="O23" s="99" t="str">
        <f t="shared" si="0"/>
        <v/>
      </c>
      <c r="P23" s="100">
        <f t="shared" si="1"/>
        <v>0</v>
      </c>
      <c r="Q23" s="101" t="str">
        <f t="shared" si="2"/>
        <v/>
      </c>
      <c r="R23" s="131" t="str">
        <f t="shared" si="3"/>
        <v/>
      </c>
      <c r="AB23" s="129"/>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31" t="str">
        <f t="shared" si="3"/>
        <v/>
      </c>
      <c r="AB24" s="129"/>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31" t="str">
        <f t="shared" si="3"/>
        <v/>
      </c>
      <c r="AB25" s="129"/>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31" t="str">
        <f t="shared" si="3"/>
        <v/>
      </c>
      <c r="AB26" s="129"/>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31" t="str">
        <f t="shared" si="3"/>
        <v/>
      </c>
      <c r="AB27" s="129"/>
      <c r="AC27" s="80"/>
      <c r="AD27" s="79"/>
      <c r="AE27" s="77"/>
      <c r="AF27" s="77"/>
    </row>
    <row r="28" spans="1:32" ht="15" customHeight="1" x14ac:dyDescent="0.15">
      <c r="A28" s="242" t="s">
        <v>93</v>
      </c>
      <c r="B28" s="243"/>
      <c r="C28" s="248">
        <v>0</v>
      </c>
      <c r="D28" s="111">
        <f t="shared" si="4"/>
        <v>26</v>
      </c>
      <c r="E28" s="82"/>
      <c r="F28" s="87"/>
      <c r="G28" s="89"/>
      <c r="H28" s="89"/>
      <c r="I28" s="89"/>
      <c r="J28" s="89"/>
      <c r="K28" s="89"/>
      <c r="L28" s="89"/>
      <c r="M28" s="89"/>
      <c r="N28" s="93"/>
      <c r="O28" s="99" t="str">
        <f t="shared" si="0"/>
        <v/>
      </c>
      <c r="P28" s="100">
        <f t="shared" si="1"/>
        <v>0</v>
      </c>
      <c r="Q28" s="101" t="str">
        <f t="shared" si="2"/>
        <v/>
      </c>
      <c r="R28" s="131" t="str">
        <f t="shared" si="3"/>
        <v/>
      </c>
      <c r="AB28" s="129"/>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31" t="str">
        <f t="shared" si="3"/>
        <v/>
      </c>
      <c r="AB29" s="129"/>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31" t="str">
        <f t="shared" si="3"/>
        <v/>
      </c>
      <c r="AB30" s="129"/>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31"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31" t="str">
        <f t="shared" si="3"/>
        <v/>
      </c>
      <c r="AB32" s="129"/>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31" t="str">
        <f t="shared" si="3"/>
        <v/>
      </c>
      <c r="AB33" s="129"/>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31" t="str">
        <f t="shared" si="3"/>
        <v/>
      </c>
      <c r="AB34" s="129"/>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31" t="str">
        <f t="shared" si="3"/>
        <v/>
      </c>
      <c r="AB35" s="129"/>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31"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31"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31"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31"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31"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31" t="str">
        <f t="shared" si="3"/>
        <v/>
      </c>
    </row>
    <row r="42" spans="1:32" ht="15" customHeight="1" x14ac:dyDescent="0.15">
      <c r="A42" s="246"/>
      <c r="B42" s="247"/>
      <c r="C42" s="250"/>
      <c r="D42" s="112">
        <f t="shared" si="4"/>
        <v>40</v>
      </c>
      <c r="E42" s="130"/>
      <c r="F42" s="88"/>
      <c r="G42" s="91"/>
      <c r="H42" s="91"/>
      <c r="I42" s="91"/>
      <c r="J42" s="91"/>
      <c r="K42" s="91"/>
      <c r="L42" s="91"/>
      <c r="M42" s="91"/>
      <c r="N42" s="95"/>
      <c r="O42" s="103" t="str">
        <f t="shared" si="0"/>
        <v/>
      </c>
      <c r="P42" s="104">
        <f t="shared" si="1"/>
        <v>0</v>
      </c>
      <c r="Q42" s="101" t="str">
        <f t="shared" si="2"/>
        <v/>
      </c>
      <c r="R42" s="131" t="str">
        <f t="shared" si="3"/>
        <v/>
      </c>
    </row>
    <row r="43" spans="1:32" ht="15" customHeight="1" x14ac:dyDescent="0.15">
      <c r="A43" s="271" t="s">
        <v>21</v>
      </c>
      <c r="B43" s="278"/>
      <c r="C43" s="248" t="s">
        <v>105</v>
      </c>
      <c r="D43" s="112">
        <f t="shared" si="4"/>
        <v>41</v>
      </c>
      <c r="E43" s="130"/>
      <c r="F43" s="88"/>
      <c r="G43" s="91"/>
      <c r="H43" s="91"/>
      <c r="I43" s="91"/>
      <c r="J43" s="91"/>
      <c r="K43" s="91"/>
      <c r="L43" s="91"/>
      <c r="M43" s="91"/>
      <c r="N43" s="95"/>
      <c r="O43" s="103" t="str">
        <f t="shared" si="0"/>
        <v/>
      </c>
      <c r="P43" s="104">
        <f t="shared" si="1"/>
        <v>0</v>
      </c>
      <c r="Q43" s="101" t="str">
        <f t="shared" si="2"/>
        <v/>
      </c>
      <c r="R43" s="131" t="str">
        <f t="shared" si="3"/>
        <v/>
      </c>
    </row>
    <row r="44" spans="1:32" ht="15" customHeight="1" x14ac:dyDescent="0.15">
      <c r="A44" s="238"/>
      <c r="B44" s="279"/>
      <c r="C44" s="249"/>
      <c r="D44" s="112">
        <f t="shared" si="4"/>
        <v>42</v>
      </c>
      <c r="E44" s="130"/>
      <c r="F44" s="88"/>
      <c r="G44" s="91"/>
      <c r="H44" s="91"/>
      <c r="I44" s="91"/>
      <c r="J44" s="91"/>
      <c r="K44" s="91"/>
      <c r="L44" s="91"/>
      <c r="M44" s="91"/>
      <c r="N44" s="95"/>
      <c r="O44" s="103" t="str">
        <f t="shared" si="0"/>
        <v/>
      </c>
      <c r="P44" s="104">
        <f t="shared" si="1"/>
        <v>0</v>
      </c>
      <c r="Q44" s="101" t="str">
        <f t="shared" si="2"/>
        <v/>
      </c>
      <c r="R44" s="131" t="str">
        <f t="shared" si="3"/>
        <v/>
      </c>
    </row>
    <row r="45" spans="1:32" ht="15" customHeight="1" x14ac:dyDescent="0.15">
      <c r="A45" s="238"/>
      <c r="B45" s="279"/>
      <c r="C45" s="249"/>
      <c r="D45" s="112">
        <f t="shared" si="4"/>
        <v>43</v>
      </c>
      <c r="E45" s="130"/>
      <c r="F45" s="88"/>
      <c r="G45" s="91"/>
      <c r="H45" s="91"/>
      <c r="I45" s="91"/>
      <c r="J45" s="91"/>
      <c r="K45" s="91"/>
      <c r="L45" s="91"/>
      <c r="M45" s="91"/>
      <c r="N45" s="95"/>
      <c r="O45" s="103" t="str">
        <f t="shared" si="0"/>
        <v/>
      </c>
      <c r="P45" s="104">
        <f t="shared" si="1"/>
        <v>0</v>
      </c>
      <c r="Q45" s="101" t="str">
        <f t="shared" si="2"/>
        <v/>
      </c>
      <c r="R45" s="131" t="str">
        <f t="shared" si="3"/>
        <v/>
      </c>
    </row>
    <row r="46" spans="1:32" ht="15" customHeight="1" x14ac:dyDescent="0.15">
      <c r="A46" s="238"/>
      <c r="B46" s="279"/>
      <c r="C46" s="249"/>
      <c r="D46" s="112">
        <f t="shared" si="4"/>
        <v>44</v>
      </c>
      <c r="E46" s="130"/>
      <c r="F46" s="88"/>
      <c r="G46" s="91"/>
      <c r="H46" s="91"/>
      <c r="I46" s="91"/>
      <c r="J46" s="91"/>
      <c r="K46" s="91"/>
      <c r="L46" s="91"/>
      <c r="M46" s="91"/>
      <c r="N46" s="95"/>
      <c r="O46" s="103" t="str">
        <f t="shared" si="0"/>
        <v/>
      </c>
      <c r="P46" s="104">
        <f t="shared" si="1"/>
        <v>0</v>
      </c>
      <c r="Q46" s="101" t="str">
        <f t="shared" si="2"/>
        <v/>
      </c>
      <c r="R46" s="131" t="str">
        <f t="shared" si="3"/>
        <v/>
      </c>
    </row>
    <row r="47" spans="1:32" ht="15" customHeight="1" x14ac:dyDescent="0.15">
      <c r="A47" s="238"/>
      <c r="B47" s="279"/>
      <c r="C47" s="249"/>
      <c r="D47" s="112">
        <f t="shared" si="4"/>
        <v>45</v>
      </c>
      <c r="E47" s="130"/>
      <c r="F47" s="88"/>
      <c r="G47" s="91"/>
      <c r="H47" s="91"/>
      <c r="I47" s="91"/>
      <c r="J47" s="91"/>
      <c r="K47" s="91"/>
      <c r="L47" s="91"/>
      <c r="M47" s="91"/>
      <c r="N47" s="95"/>
      <c r="O47" s="103" t="str">
        <f t="shared" si="0"/>
        <v/>
      </c>
      <c r="P47" s="104">
        <f t="shared" si="1"/>
        <v>0</v>
      </c>
      <c r="Q47" s="101" t="str">
        <f t="shared" si="2"/>
        <v/>
      </c>
      <c r="R47" s="131" t="str">
        <f t="shared" si="3"/>
        <v/>
      </c>
    </row>
    <row r="48" spans="1:32" ht="15" customHeight="1" x14ac:dyDescent="0.15">
      <c r="A48" s="238"/>
      <c r="B48" s="279"/>
      <c r="C48" s="249"/>
      <c r="D48" s="112">
        <f t="shared" si="4"/>
        <v>46</v>
      </c>
      <c r="E48" s="130"/>
      <c r="F48" s="88"/>
      <c r="G48" s="91"/>
      <c r="H48" s="91"/>
      <c r="I48" s="91"/>
      <c r="J48" s="91"/>
      <c r="K48" s="91"/>
      <c r="L48" s="91"/>
      <c r="M48" s="91"/>
      <c r="N48" s="95"/>
      <c r="O48" s="103" t="str">
        <f t="shared" si="0"/>
        <v/>
      </c>
      <c r="P48" s="104">
        <f t="shared" si="1"/>
        <v>0</v>
      </c>
      <c r="Q48" s="101" t="str">
        <f t="shared" si="2"/>
        <v/>
      </c>
      <c r="R48" s="131" t="str">
        <f t="shared" si="3"/>
        <v/>
      </c>
    </row>
    <row r="49" spans="1:18" ht="15" customHeight="1" x14ac:dyDescent="0.15">
      <c r="A49" s="240"/>
      <c r="B49" s="280"/>
      <c r="C49" s="250"/>
      <c r="D49" s="112">
        <f t="shared" si="4"/>
        <v>47</v>
      </c>
      <c r="E49" s="130"/>
      <c r="F49" s="88"/>
      <c r="G49" s="91"/>
      <c r="H49" s="91"/>
      <c r="I49" s="91"/>
      <c r="J49" s="91"/>
      <c r="K49" s="91"/>
      <c r="L49" s="91"/>
      <c r="M49" s="91"/>
      <c r="N49" s="95"/>
      <c r="O49" s="103" t="str">
        <f t="shared" si="0"/>
        <v/>
      </c>
      <c r="P49" s="104">
        <f t="shared" si="1"/>
        <v>0</v>
      </c>
      <c r="Q49" s="101" t="str">
        <f t="shared" si="2"/>
        <v/>
      </c>
      <c r="R49" s="131" t="str">
        <f t="shared" si="3"/>
        <v/>
      </c>
    </row>
    <row r="50" spans="1:18" ht="15" customHeight="1" x14ac:dyDescent="0.15">
      <c r="A50" s="281" t="s">
        <v>24</v>
      </c>
      <c r="B50" s="282"/>
      <c r="C50" s="249" t="s">
        <v>105</v>
      </c>
      <c r="D50" s="112">
        <f t="shared" si="4"/>
        <v>48</v>
      </c>
      <c r="E50" s="130"/>
      <c r="F50" s="88"/>
      <c r="G50" s="91"/>
      <c r="H50" s="91"/>
      <c r="I50" s="91"/>
      <c r="J50" s="91"/>
      <c r="K50" s="91"/>
      <c r="L50" s="91"/>
      <c r="M50" s="91"/>
      <c r="N50" s="95"/>
      <c r="O50" s="103" t="str">
        <f t="shared" si="0"/>
        <v/>
      </c>
      <c r="P50" s="104">
        <f t="shared" si="1"/>
        <v>0</v>
      </c>
      <c r="Q50" s="101" t="str">
        <f t="shared" si="2"/>
        <v/>
      </c>
      <c r="R50" s="131" t="str">
        <f t="shared" si="3"/>
        <v/>
      </c>
    </row>
    <row r="51" spans="1:18" ht="15" customHeight="1" x14ac:dyDescent="0.15">
      <c r="A51" s="281"/>
      <c r="B51" s="282"/>
      <c r="C51" s="249"/>
      <c r="D51" s="112">
        <f t="shared" si="4"/>
        <v>49</v>
      </c>
      <c r="E51" s="130"/>
      <c r="F51" s="53"/>
      <c r="G51" s="92"/>
      <c r="H51" s="92"/>
      <c r="I51" s="92"/>
      <c r="J51" s="92"/>
      <c r="K51" s="92"/>
      <c r="L51" s="92"/>
      <c r="M51" s="92"/>
      <c r="N51" s="96"/>
      <c r="O51" s="103" t="str">
        <f t="shared" si="0"/>
        <v/>
      </c>
      <c r="P51" s="104">
        <f t="shared" si="1"/>
        <v>0</v>
      </c>
      <c r="Q51" s="101" t="str">
        <f t="shared" si="2"/>
        <v/>
      </c>
      <c r="R51" s="131" t="str">
        <f t="shared" si="3"/>
        <v/>
      </c>
    </row>
    <row r="52" spans="1:18" ht="15" customHeight="1" thickBot="1" x14ac:dyDescent="0.2">
      <c r="A52" s="281"/>
      <c r="B52" s="282"/>
      <c r="C52" s="249"/>
      <c r="D52" s="112">
        <f t="shared" si="4"/>
        <v>50</v>
      </c>
      <c r="E52" s="130"/>
      <c r="F52" s="53"/>
      <c r="G52" s="92"/>
      <c r="H52" s="92"/>
      <c r="I52" s="92"/>
      <c r="J52" s="92"/>
      <c r="K52" s="92"/>
      <c r="L52" s="92"/>
      <c r="M52" s="92"/>
      <c r="N52" s="96"/>
      <c r="O52" s="105" t="str">
        <f t="shared" si="0"/>
        <v/>
      </c>
      <c r="P52" s="106">
        <f t="shared" si="1"/>
        <v>0</v>
      </c>
      <c r="Q52" s="101" t="str">
        <f t="shared" si="2"/>
        <v/>
      </c>
      <c r="R52" s="131" t="str">
        <f t="shared" si="3"/>
        <v/>
      </c>
    </row>
    <row r="53" spans="1:18" ht="12" customHeight="1" x14ac:dyDescent="0.15">
      <c r="A53" s="281"/>
      <c r="B53" s="282"/>
      <c r="C53" s="249"/>
      <c r="D53" s="276" t="s">
        <v>25</v>
      </c>
      <c r="E53" s="276"/>
      <c r="F53" s="276"/>
      <c r="G53" s="134"/>
      <c r="H53" s="134"/>
      <c r="I53" s="134"/>
      <c r="J53" s="134"/>
      <c r="K53" s="134"/>
      <c r="L53" s="134"/>
      <c r="M53" s="134"/>
      <c r="N53" s="134"/>
      <c r="O53" s="114"/>
      <c r="P53" s="114"/>
      <c r="Q53" s="134"/>
      <c r="R53" s="115"/>
    </row>
    <row r="54" spans="1:18" ht="12" customHeight="1" x14ac:dyDescent="0.15">
      <c r="A54" s="281"/>
      <c r="B54" s="282"/>
      <c r="C54" s="249"/>
      <c r="D54" s="277"/>
      <c r="E54" s="277"/>
      <c r="F54" s="277"/>
      <c r="G54" s="135"/>
      <c r="H54" s="135"/>
      <c r="I54" s="135"/>
      <c r="J54" s="135"/>
      <c r="K54" s="135"/>
      <c r="L54" s="135"/>
      <c r="M54" s="135"/>
      <c r="N54" s="135"/>
      <c r="O54" s="135"/>
      <c r="P54" s="135"/>
      <c r="Q54" s="135"/>
      <c r="R54" s="117"/>
    </row>
    <row r="55" spans="1:18" ht="12" customHeight="1" x14ac:dyDescent="0.15">
      <c r="A55" s="281"/>
      <c r="B55" s="282"/>
      <c r="C55" s="249"/>
      <c r="D55" s="274" t="s">
        <v>26</v>
      </c>
      <c r="E55" s="274"/>
      <c r="F55" s="274"/>
      <c r="G55" s="132"/>
      <c r="H55" s="132"/>
      <c r="I55" s="132"/>
      <c r="J55" s="132"/>
      <c r="K55" s="132"/>
      <c r="L55" s="132"/>
      <c r="M55" s="132"/>
      <c r="N55" s="132"/>
      <c r="O55" s="114"/>
      <c r="P55" s="114"/>
      <c r="Q55" s="132"/>
      <c r="R55" s="119"/>
    </row>
    <row r="56" spans="1:18" ht="12" customHeight="1" thickBot="1" x14ac:dyDescent="0.2">
      <c r="A56" s="283"/>
      <c r="B56" s="284"/>
      <c r="C56" s="285"/>
      <c r="D56" s="275"/>
      <c r="E56" s="275"/>
      <c r="F56" s="275"/>
      <c r="G56" s="133"/>
      <c r="H56" s="133"/>
      <c r="I56" s="133"/>
      <c r="J56" s="133"/>
      <c r="K56" s="133"/>
      <c r="L56" s="133"/>
      <c r="M56" s="133"/>
      <c r="N56" s="133"/>
      <c r="O56" s="133"/>
      <c r="P56" s="133"/>
      <c r="Q56" s="133"/>
      <c r="R56" s="121"/>
    </row>
    <row r="58" spans="1:18" x14ac:dyDescent="0.15">
      <c r="C58" s="2" t="s">
        <v>89</v>
      </c>
      <c r="D58" s="97" t="s">
        <v>90</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activeCell="D50" sqref="D50"/>
      <selection pane="topRight" activeCell="T7" sqref="T7"/>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118</v>
      </c>
      <c r="D3" s="140">
        <v>73</v>
      </c>
      <c r="E3" s="141">
        <v>2</v>
      </c>
      <c r="F3" s="140">
        <v>81</v>
      </c>
      <c r="G3" s="141">
        <v>2</v>
      </c>
      <c r="H3" s="140">
        <v>79</v>
      </c>
      <c r="I3" s="141">
        <v>0</v>
      </c>
      <c r="J3" s="140">
        <v>100</v>
      </c>
      <c r="K3" s="141">
        <v>0</v>
      </c>
      <c r="R3">
        <v>0</v>
      </c>
      <c r="S3" s="144" t="s">
        <v>121</v>
      </c>
      <c r="T3" s="136" t="s">
        <v>119</v>
      </c>
    </row>
    <row r="4" spans="1:20" ht="40.5" x14ac:dyDescent="0.15">
      <c r="A4">
        <v>19023</v>
      </c>
      <c r="B4" t="s">
        <v>108</v>
      </c>
      <c r="C4" t="s">
        <v>118</v>
      </c>
      <c r="D4" s="140">
        <v>44</v>
      </c>
      <c r="E4" s="142">
        <v>10</v>
      </c>
      <c r="F4" s="140">
        <v>44</v>
      </c>
      <c r="G4" s="142">
        <v>10</v>
      </c>
      <c r="H4" s="140">
        <v>44</v>
      </c>
      <c r="I4" s="142">
        <v>11</v>
      </c>
      <c r="J4" s="140">
        <v>44</v>
      </c>
      <c r="K4" s="142">
        <v>7</v>
      </c>
      <c r="R4">
        <v>10</v>
      </c>
      <c r="S4" s="144" t="s">
        <v>122</v>
      </c>
      <c r="T4" s="136" t="s">
        <v>128</v>
      </c>
    </row>
    <row r="5" spans="1:20" ht="27" x14ac:dyDescent="0.15">
      <c r="A5">
        <v>19028</v>
      </c>
      <c r="B5" t="s">
        <v>109</v>
      </c>
      <c r="C5" t="s">
        <v>118</v>
      </c>
      <c r="D5" s="140">
        <v>78</v>
      </c>
      <c r="E5" s="142">
        <v>4</v>
      </c>
      <c r="F5" s="140">
        <v>79</v>
      </c>
      <c r="G5" s="142">
        <v>4</v>
      </c>
      <c r="H5" s="140">
        <v>75</v>
      </c>
      <c r="I5" s="142">
        <v>0</v>
      </c>
      <c r="J5" s="140">
        <v>100</v>
      </c>
      <c r="K5" s="142">
        <v>0</v>
      </c>
      <c r="R5">
        <v>0</v>
      </c>
      <c r="S5" s="144" t="s">
        <v>123</v>
      </c>
      <c r="T5" s="136" t="s">
        <v>120</v>
      </c>
    </row>
    <row r="6" spans="1:20" ht="40.5" x14ac:dyDescent="0.15">
      <c r="A6">
        <v>19038</v>
      </c>
      <c r="B6" t="s">
        <v>110</v>
      </c>
      <c r="C6" t="s">
        <v>118</v>
      </c>
      <c r="D6" s="140">
        <v>70</v>
      </c>
      <c r="E6" s="142">
        <v>0</v>
      </c>
      <c r="F6" s="140">
        <v>45</v>
      </c>
      <c r="G6" s="142">
        <v>0</v>
      </c>
      <c r="H6" s="140">
        <v>69</v>
      </c>
      <c r="I6" s="142">
        <v>0</v>
      </c>
      <c r="J6" s="140">
        <v>62</v>
      </c>
      <c r="K6" s="142">
        <v>0</v>
      </c>
      <c r="R6">
        <v>0</v>
      </c>
      <c r="S6" s="143" t="s">
        <v>124</v>
      </c>
      <c r="T6" s="136" t="s">
        <v>129</v>
      </c>
    </row>
    <row r="7" spans="1:20" ht="40.5" x14ac:dyDescent="0.15">
      <c r="A7">
        <v>19041</v>
      </c>
      <c r="B7" t="s">
        <v>111</v>
      </c>
      <c r="C7" t="s">
        <v>118</v>
      </c>
      <c r="D7" s="140">
        <v>64</v>
      </c>
      <c r="E7" s="142">
        <v>10</v>
      </c>
      <c r="F7" s="140">
        <v>50</v>
      </c>
      <c r="G7" s="142">
        <v>10</v>
      </c>
      <c r="H7" s="140">
        <v>45</v>
      </c>
      <c r="I7" s="142">
        <v>8</v>
      </c>
      <c r="J7" s="140">
        <v>85</v>
      </c>
      <c r="K7" s="142">
        <v>6</v>
      </c>
      <c r="R7">
        <v>35</v>
      </c>
      <c r="S7" s="144" t="s">
        <v>125</v>
      </c>
      <c r="T7" s="136" t="s">
        <v>133</v>
      </c>
    </row>
    <row r="8" spans="1:20" ht="40.5" x14ac:dyDescent="0.15">
      <c r="A8">
        <v>19052</v>
      </c>
      <c r="B8" t="s">
        <v>112</v>
      </c>
      <c r="C8" t="s">
        <v>118</v>
      </c>
      <c r="D8" s="140">
        <v>44</v>
      </c>
      <c r="E8" s="142">
        <v>10</v>
      </c>
      <c r="F8" s="140">
        <v>44</v>
      </c>
      <c r="G8" s="142">
        <v>10</v>
      </c>
      <c r="H8" s="140">
        <v>53</v>
      </c>
      <c r="I8" s="142">
        <v>15</v>
      </c>
      <c r="J8" s="140">
        <v>44</v>
      </c>
      <c r="K8" s="142">
        <v>9</v>
      </c>
      <c r="R8">
        <v>20</v>
      </c>
      <c r="S8" s="144" t="s">
        <v>126</v>
      </c>
      <c r="T8" s="136" t="s">
        <v>131</v>
      </c>
    </row>
    <row r="9" spans="1:20" ht="40.5" x14ac:dyDescent="0.15">
      <c r="A9">
        <v>19059</v>
      </c>
      <c r="B9" t="s">
        <v>113</v>
      </c>
      <c r="C9" t="s">
        <v>118</v>
      </c>
      <c r="D9" s="140">
        <v>45</v>
      </c>
      <c r="E9" s="142">
        <v>0</v>
      </c>
      <c r="F9" s="140">
        <v>60</v>
      </c>
      <c r="G9" s="142">
        <v>0</v>
      </c>
      <c r="H9" s="140">
        <v>61</v>
      </c>
      <c r="I9" s="142">
        <v>0</v>
      </c>
      <c r="J9" s="140">
        <v>68</v>
      </c>
      <c r="K9" s="142">
        <v>0</v>
      </c>
      <c r="R9">
        <v>0</v>
      </c>
      <c r="S9" s="143" t="s">
        <v>124</v>
      </c>
      <c r="T9" s="136" t="s">
        <v>130</v>
      </c>
    </row>
    <row r="10" spans="1:20" ht="40.5" x14ac:dyDescent="0.15">
      <c r="A10">
        <v>19069</v>
      </c>
      <c r="B10" t="s">
        <v>114</v>
      </c>
      <c r="C10" t="s">
        <v>118</v>
      </c>
      <c r="D10" s="140">
        <v>56</v>
      </c>
      <c r="E10" s="142">
        <v>6</v>
      </c>
      <c r="F10" s="140">
        <v>84</v>
      </c>
      <c r="G10" s="142">
        <v>6</v>
      </c>
      <c r="H10" s="140">
        <v>56</v>
      </c>
      <c r="I10" s="142">
        <v>12</v>
      </c>
      <c r="J10" s="140">
        <v>99</v>
      </c>
      <c r="K10" s="142">
        <v>9</v>
      </c>
      <c r="R10">
        <v>9</v>
      </c>
      <c r="S10" s="144" t="s">
        <v>127</v>
      </c>
      <c r="T10" s="136" t="s">
        <v>132</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tabSelected="1" view="pageBreakPreview" zoomScaleNormal="100" zoomScaleSheetLayoutView="100" workbookViewId="0">
      <selection activeCell="G4" sqref="G3:G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67</v>
      </c>
      <c r="H3" s="139"/>
      <c r="I3" s="89"/>
      <c r="J3" s="89">
        <v>45</v>
      </c>
      <c r="K3" s="89"/>
      <c r="L3" s="89"/>
      <c r="M3" s="89"/>
      <c r="N3" s="93"/>
      <c r="O3" s="99">
        <f t="shared" ref="O3:O52" si="0">IF(SUM(G3,I3,,M3)=0,"",AVERAGE(G3,I3,K3,M3))</f>
        <v>67</v>
      </c>
      <c r="P3" s="100">
        <f t="shared" ref="P3:P52" si="1">SUM(H3,J3,L3,N3)</f>
        <v>45</v>
      </c>
      <c r="Q3" s="101" t="str">
        <f t="shared" ref="Q3:Q52" si="2">IF(O3="","",IF(O3&gt;=85,"5",IF(O3&gt;=70,"4",IF(O3&gt;=45,"3",IF(O3&gt;=44,"2","1")))))</f>
        <v>3</v>
      </c>
      <c r="R3" s="158" t="str">
        <f t="shared" ref="R3:R52" si="3">IF(O3&lt;44,"再試験",IF(P3&gt;$D$63,"補習",""))</f>
        <v>補習</v>
      </c>
      <c r="T3" s="30" t="s">
        <v>96</v>
      </c>
      <c r="AB3" s="153"/>
      <c r="AC3" s="80"/>
      <c r="AD3" s="79"/>
      <c r="AE3" s="77"/>
      <c r="AF3" s="77"/>
    </row>
    <row r="4" spans="1:32" ht="15" customHeight="1" x14ac:dyDescent="0.15">
      <c r="A4" s="238"/>
      <c r="B4" s="239"/>
      <c r="C4" s="236"/>
      <c r="D4" s="111">
        <f t="shared" ref="D4:D52" si="4">D3+1</f>
        <v>2</v>
      </c>
      <c r="E4" s="82">
        <v>19023</v>
      </c>
      <c r="F4" s="87" t="s">
        <v>117</v>
      </c>
      <c r="G4" s="89">
        <v>65</v>
      </c>
      <c r="H4" s="80"/>
      <c r="I4" s="89"/>
      <c r="J4" s="89">
        <v>46</v>
      </c>
      <c r="K4" s="89"/>
      <c r="L4" s="89"/>
      <c r="M4" s="89"/>
      <c r="N4" s="93"/>
      <c r="O4" s="99">
        <f t="shared" si="0"/>
        <v>65</v>
      </c>
      <c r="P4" s="100">
        <f t="shared" si="1"/>
        <v>46</v>
      </c>
      <c r="Q4" s="101" t="str">
        <f t="shared" si="2"/>
        <v>3</v>
      </c>
      <c r="R4" s="158" t="str">
        <f t="shared" si="3"/>
        <v>補習</v>
      </c>
      <c r="T4" s="30" t="s">
        <v>64</v>
      </c>
      <c r="AB4" s="153"/>
      <c r="AC4" s="80"/>
      <c r="AD4" s="79"/>
      <c r="AE4" s="77"/>
      <c r="AF4" s="77"/>
    </row>
    <row r="5" spans="1:32" ht="15" customHeight="1" x14ac:dyDescent="0.15">
      <c r="A5" s="238"/>
      <c r="B5" s="239"/>
      <c r="C5" s="236"/>
      <c r="D5" s="111">
        <f t="shared" si="4"/>
        <v>3</v>
      </c>
      <c r="E5" s="82">
        <v>19028</v>
      </c>
      <c r="F5" s="87" t="s">
        <v>109</v>
      </c>
      <c r="G5" s="89">
        <v>63</v>
      </c>
      <c r="H5" s="80"/>
      <c r="I5" s="89"/>
      <c r="J5" s="89">
        <v>47</v>
      </c>
      <c r="K5" s="89"/>
      <c r="L5" s="89"/>
      <c r="M5" s="89"/>
      <c r="N5" s="93"/>
      <c r="O5" s="99">
        <f t="shared" si="0"/>
        <v>63</v>
      </c>
      <c r="P5" s="100">
        <f t="shared" si="1"/>
        <v>47</v>
      </c>
      <c r="Q5" s="101" t="str">
        <f t="shared" si="2"/>
        <v>3</v>
      </c>
      <c r="R5" s="158" t="str">
        <f t="shared" si="3"/>
        <v>補習</v>
      </c>
      <c r="T5" s="30" t="s">
        <v>65</v>
      </c>
      <c r="AB5" s="153"/>
      <c r="AC5" s="80"/>
      <c r="AD5" s="79"/>
      <c r="AE5" s="77"/>
      <c r="AF5" s="77"/>
    </row>
    <row r="6" spans="1:32" ht="15" customHeight="1" x14ac:dyDescent="0.15">
      <c r="A6" s="238"/>
      <c r="B6" s="239"/>
      <c r="C6" s="236"/>
      <c r="D6" s="111">
        <f t="shared" si="4"/>
        <v>4</v>
      </c>
      <c r="E6" s="82">
        <v>19038</v>
      </c>
      <c r="F6" s="87" t="s">
        <v>110</v>
      </c>
      <c r="G6" s="89">
        <v>61</v>
      </c>
      <c r="H6" s="80"/>
      <c r="I6" s="89"/>
      <c r="J6" s="89">
        <v>48</v>
      </c>
      <c r="K6" s="89"/>
      <c r="L6" s="89"/>
      <c r="M6" s="89"/>
      <c r="N6" s="93"/>
      <c r="O6" s="99">
        <f t="shared" si="0"/>
        <v>61</v>
      </c>
      <c r="P6" s="100">
        <f t="shared" si="1"/>
        <v>48</v>
      </c>
      <c r="Q6" s="101" t="str">
        <f t="shared" si="2"/>
        <v>3</v>
      </c>
      <c r="R6" s="158" t="str">
        <f t="shared" si="3"/>
        <v>補習</v>
      </c>
      <c r="T6" s="30" t="s">
        <v>66</v>
      </c>
      <c r="AB6" s="153"/>
      <c r="AC6" s="80"/>
      <c r="AD6" s="79"/>
      <c r="AE6" s="77"/>
      <c r="AF6" s="77"/>
    </row>
    <row r="7" spans="1:32" ht="15" customHeight="1" x14ac:dyDescent="0.15">
      <c r="A7" s="240"/>
      <c r="B7" s="241"/>
      <c r="C7" s="237"/>
      <c r="D7" s="111">
        <f t="shared" si="4"/>
        <v>5</v>
      </c>
      <c r="E7" s="82">
        <v>19041</v>
      </c>
      <c r="F7" s="87" t="s">
        <v>111</v>
      </c>
      <c r="G7" s="89">
        <v>59</v>
      </c>
      <c r="H7" s="80"/>
      <c r="I7" s="89"/>
      <c r="J7" s="89">
        <v>49</v>
      </c>
      <c r="K7" s="89"/>
      <c r="L7" s="89"/>
      <c r="M7" s="89"/>
      <c r="N7" s="93"/>
      <c r="O7" s="99">
        <f t="shared" si="0"/>
        <v>59</v>
      </c>
      <c r="P7" s="100">
        <f t="shared" si="1"/>
        <v>49</v>
      </c>
      <c r="Q7" s="101" t="str">
        <f t="shared" si="2"/>
        <v>3</v>
      </c>
      <c r="R7" s="158" t="str">
        <f t="shared" si="3"/>
        <v>補習</v>
      </c>
      <c r="U7" s="30" t="s">
        <v>70</v>
      </c>
      <c r="AB7" s="153"/>
      <c r="AC7" s="80"/>
      <c r="AD7" s="79"/>
      <c r="AE7" s="77"/>
      <c r="AF7" s="77"/>
    </row>
    <row r="8" spans="1:32" ht="15" customHeight="1" x14ac:dyDescent="0.15">
      <c r="A8" s="238" t="s">
        <v>92</v>
      </c>
      <c r="B8" s="239"/>
      <c r="C8" s="235" t="str">
        <f ca="1">RIGHT(CELL("filename",A1),LEN(CELL("filename",A1))-FIND("]",CELL("filename",A1)))</f>
        <v>FP②</v>
      </c>
      <c r="D8" s="111">
        <f t="shared" si="4"/>
        <v>6</v>
      </c>
      <c r="E8" s="82">
        <v>19052</v>
      </c>
      <c r="F8" s="87" t="s">
        <v>112</v>
      </c>
      <c r="G8" s="89">
        <v>57</v>
      </c>
      <c r="H8" s="80"/>
      <c r="I8" s="89"/>
      <c r="J8" s="89">
        <v>50</v>
      </c>
      <c r="K8" s="89"/>
      <c r="L8" s="89"/>
      <c r="M8" s="89"/>
      <c r="N8" s="93"/>
      <c r="O8" s="99">
        <f t="shared" si="0"/>
        <v>57</v>
      </c>
      <c r="P8" s="100">
        <f t="shared" si="1"/>
        <v>50</v>
      </c>
      <c r="Q8" s="101" t="str">
        <f t="shared" si="2"/>
        <v>3</v>
      </c>
      <c r="R8" s="158" t="str">
        <f t="shared" si="3"/>
        <v>補習</v>
      </c>
      <c r="T8" s="30"/>
      <c r="U8" s="30" t="s">
        <v>72</v>
      </c>
    </row>
    <row r="9" spans="1:32" ht="15" customHeight="1" x14ac:dyDescent="0.15">
      <c r="A9" s="238"/>
      <c r="B9" s="239"/>
      <c r="C9" s="236"/>
      <c r="D9" s="111">
        <f t="shared" si="4"/>
        <v>7</v>
      </c>
      <c r="E9" s="82">
        <v>19059</v>
      </c>
      <c r="F9" s="87" t="s">
        <v>113</v>
      </c>
      <c r="G9" s="89">
        <v>55</v>
      </c>
      <c r="H9" s="80"/>
      <c r="I9" s="89"/>
      <c r="J9" s="89">
        <v>51</v>
      </c>
      <c r="K9" s="89"/>
      <c r="L9" s="89"/>
      <c r="M9" s="89"/>
      <c r="N9" s="93"/>
      <c r="O9" s="99">
        <f t="shared" si="0"/>
        <v>55</v>
      </c>
      <c r="P9" s="100">
        <f t="shared" si="1"/>
        <v>51</v>
      </c>
      <c r="Q9" s="101" t="str">
        <f t="shared" si="2"/>
        <v>3</v>
      </c>
      <c r="R9" s="158" t="str">
        <f t="shared" si="3"/>
        <v>補習</v>
      </c>
      <c r="T9" s="30"/>
      <c r="AB9" s="153"/>
      <c r="AC9" s="80"/>
      <c r="AD9" s="79"/>
      <c r="AE9" s="77"/>
      <c r="AF9" s="77"/>
    </row>
    <row r="10" spans="1:32" ht="15" customHeight="1" x14ac:dyDescent="0.15">
      <c r="A10" s="238"/>
      <c r="B10" s="239"/>
      <c r="C10" s="236"/>
      <c r="D10" s="111">
        <f t="shared" si="4"/>
        <v>8</v>
      </c>
      <c r="E10" s="82">
        <v>19069</v>
      </c>
      <c r="F10" s="87" t="s">
        <v>114</v>
      </c>
      <c r="G10" s="89">
        <v>53</v>
      </c>
      <c r="H10" s="80"/>
      <c r="I10" s="89"/>
      <c r="J10" s="89">
        <v>52</v>
      </c>
      <c r="K10" s="89"/>
      <c r="L10" s="89"/>
      <c r="M10" s="89"/>
      <c r="N10" s="93"/>
      <c r="O10" s="99">
        <f t="shared" si="0"/>
        <v>53</v>
      </c>
      <c r="P10" s="100">
        <f t="shared" si="1"/>
        <v>52</v>
      </c>
      <c r="Q10" s="101" t="str">
        <f t="shared" si="2"/>
        <v>3</v>
      </c>
      <c r="R10" s="158" t="str">
        <f t="shared" si="3"/>
        <v>補習</v>
      </c>
      <c r="T10" s="30"/>
      <c r="U10" s="30" t="s">
        <v>71</v>
      </c>
      <c r="AB10" s="153"/>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58" t="str">
        <f t="shared" si="3"/>
        <v/>
      </c>
      <c r="AB11" s="153"/>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58" t="str">
        <f t="shared" si="3"/>
        <v/>
      </c>
      <c r="T12" s="30"/>
      <c r="AB12" s="153"/>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58" t="str">
        <f t="shared" si="3"/>
        <v/>
      </c>
      <c r="U13" s="30"/>
      <c r="AB13" s="153"/>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58" t="str">
        <f t="shared" si="3"/>
        <v/>
      </c>
      <c r="AB14" s="153"/>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58" t="str">
        <f t="shared" si="3"/>
        <v/>
      </c>
      <c r="AB15" s="153"/>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58" t="str">
        <f t="shared" si="3"/>
        <v/>
      </c>
      <c r="AB16" s="153"/>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58" t="str">
        <f t="shared" si="3"/>
        <v/>
      </c>
      <c r="AB17" s="153"/>
      <c r="AC17" s="80"/>
      <c r="AD17" s="79"/>
      <c r="AE17" s="77"/>
      <c r="AF17" s="77"/>
    </row>
    <row r="18" spans="1:32" ht="15" customHeight="1" x14ac:dyDescent="0.15">
      <c r="A18" s="242" t="s">
        <v>20</v>
      </c>
      <c r="B18" s="243"/>
      <c r="C18" s="251">
        <f>SUM(C23:C42)</f>
        <v>32</v>
      </c>
      <c r="D18" s="111">
        <f t="shared" si="4"/>
        <v>16</v>
      </c>
      <c r="E18" s="82"/>
      <c r="F18" s="87"/>
      <c r="G18" s="89"/>
      <c r="H18" s="89"/>
      <c r="I18" s="89"/>
      <c r="J18" s="89"/>
      <c r="K18" s="89"/>
      <c r="L18" s="89"/>
      <c r="M18" s="89"/>
      <c r="N18" s="93"/>
      <c r="O18" s="99" t="str">
        <f t="shared" si="0"/>
        <v/>
      </c>
      <c r="P18" s="100">
        <f t="shared" si="1"/>
        <v>0</v>
      </c>
      <c r="Q18" s="101" t="str">
        <f t="shared" si="2"/>
        <v/>
      </c>
      <c r="R18" s="158" t="str">
        <f t="shared" si="3"/>
        <v/>
      </c>
      <c r="AB18" s="153"/>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58" t="str">
        <f t="shared" si="3"/>
        <v/>
      </c>
      <c r="AB19" s="153"/>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58" t="str">
        <f t="shared" si="3"/>
        <v/>
      </c>
      <c r="AB20" s="153"/>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58" t="str">
        <f t="shared" si="3"/>
        <v/>
      </c>
      <c r="AB21" s="153"/>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58" t="str">
        <f t="shared" si="3"/>
        <v/>
      </c>
      <c r="AB22" s="153"/>
      <c r="AC22" s="80"/>
      <c r="AD22" s="79"/>
      <c r="AE22" s="77"/>
      <c r="AF22" s="77"/>
    </row>
    <row r="23" spans="1:32" ht="15" customHeight="1" x14ac:dyDescent="0.15">
      <c r="A23" s="242" t="s">
        <v>91</v>
      </c>
      <c r="B23" s="243"/>
      <c r="C23" s="248">
        <v>0</v>
      </c>
      <c r="D23" s="111">
        <f t="shared" si="4"/>
        <v>21</v>
      </c>
      <c r="E23" s="82"/>
      <c r="F23" s="87"/>
      <c r="G23" s="89"/>
      <c r="H23" s="89"/>
      <c r="I23" s="89"/>
      <c r="J23" s="89"/>
      <c r="K23" s="89"/>
      <c r="L23" s="89"/>
      <c r="M23" s="89"/>
      <c r="N23" s="93"/>
      <c r="O23" s="99" t="str">
        <f t="shared" si="0"/>
        <v/>
      </c>
      <c r="P23" s="100">
        <f t="shared" si="1"/>
        <v>0</v>
      </c>
      <c r="Q23" s="101" t="str">
        <f t="shared" si="2"/>
        <v/>
      </c>
      <c r="R23" s="158" t="str">
        <f t="shared" si="3"/>
        <v/>
      </c>
      <c r="AB23" s="153"/>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58" t="str">
        <f t="shared" si="3"/>
        <v/>
      </c>
      <c r="AB24" s="153"/>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58" t="str">
        <f t="shared" si="3"/>
        <v/>
      </c>
      <c r="AB25" s="153"/>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58" t="str">
        <f t="shared" si="3"/>
        <v/>
      </c>
      <c r="AB26" s="153"/>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58" t="str">
        <f t="shared" si="3"/>
        <v/>
      </c>
      <c r="AB27" s="153"/>
      <c r="AC27" s="80"/>
      <c r="AD27" s="79"/>
      <c r="AE27" s="77"/>
      <c r="AF27" s="77"/>
    </row>
    <row r="28" spans="1:32" ht="15" customHeight="1" x14ac:dyDescent="0.15">
      <c r="A28" s="242" t="s">
        <v>93</v>
      </c>
      <c r="B28" s="243"/>
      <c r="C28" s="248">
        <v>32</v>
      </c>
      <c r="D28" s="111">
        <f t="shared" si="4"/>
        <v>26</v>
      </c>
      <c r="E28" s="82"/>
      <c r="F28" s="87"/>
      <c r="G28" s="89"/>
      <c r="H28" s="89"/>
      <c r="I28" s="89"/>
      <c r="J28" s="89"/>
      <c r="K28" s="89"/>
      <c r="L28" s="89"/>
      <c r="M28" s="89"/>
      <c r="N28" s="93"/>
      <c r="O28" s="99" t="str">
        <f t="shared" si="0"/>
        <v/>
      </c>
      <c r="P28" s="100">
        <f t="shared" si="1"/>
        <v>0</v>
      </c>
      <c r="Q28" s="101" t="str">
        <f t="shared" si="2"/>
        <v/>
      </c>
      <c r="R28" s="158" t="str">
        <f t="shared" si="3"/>
        <v/>
      </c>
      <c r="AB28" s="153"/>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58" t="str">
        <f t="shared" si="3"/>
        <v/>
      </c>
      <c r="AB29" s="153"/>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58" t="str">
        <f t="shared" si="3"/>
        <v/>
      </c>
      <c r="AB30" s="153"/>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58"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58" t="str">
        <f t="shared" si="3"/>
        <v/>
      </c>
      <c r="AB32" s="153"/>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58" t="str">
        <f t="shared" si="3"/>
        <v/>
      </c>
      <c r="AB33" s="153"/>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58" t="str">
        <f t="shared" si="3"/>
        <v/>
      </c>
      <c r="AB34" s="153"/>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58" t="str">
        <f t="shared" si="3"/>
        <v/>
      </c>
      <c r="AB35" s="153"/>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58"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58"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58"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58"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58"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58" t="str">
        <f t="shared" si="3"/>
        <v/>
      </c>
    </row>
    <row r="42" spans="1:32" ht="15" customHeight="1" x14ac:dyDescent="0.15">
      <c r="A42" s="246"/>
      <c r="B42" s="247"/>
      <c r="C42" s="250"/>
      <c r="D42" s="112">
        <f t="shared" si="4"/>
        <v>40</v>
      </c>
      <c r="E42" s="152"/>
      <c r="F42" s="88"/>
      <c r="G42" s="91"/>
      <c r="H42" s="91"/>
      <c r="I42" s="91"/>
      <c r="J42" s="91"/>
      <c r="K42" s="91"/>
      <c r="L42" s="91"/>
      <c r="M42" s="91"/>
      <c r="N42" s="95"/>
      <c r="O42" s="103" t="str">
        <f t="shared" si="0"/>
        <v/>
      </c>
      <c r="P42" s="104">
        <f t="shared" si="1"/>
        <v>0</v>
      </c>
      <c r="Q42" s="101" t="str">
        <f t="shared" si="2"/>
        <v/>
      </c>
      <c r="R42" s="158" t="str">
        <f t="shared" si="3"/>
        <v/>
      </c>
    </row>
    <row r="43" spans="1:32" ht="15" customHeight="1" x14ac:dyDescent="0.15">
      <c r="A43" s="271" t="s">
        <v>21</v>
      </c>
      <c r="B43" s="278"/>
      <c r="C43" s="248" t="s">
        <v>105</v>
      </c>
      <c r="D43" s="112">
        <f t="shared" si="4"/>
        <v>41</v>
      </c>
      <c r="E43" s="152"/>
      <c r="F43" s="88"/>
      <c r="G43" s="91"/>
      <c r="H43" s="91"/>
      <c r="I43" s="91"/>
      <c r="J43" s="91"/>
      <c r="K43" s="91"/>
      <c r="L43" s="91"/>
      <c r="M43" s="91"/>
      <c r="N43" s="95"/>
      <c r="O43" s="103" t="str">
        <f t="shared" si="0"/>
        <v/>
      </c>
      <c r="P43" s="104">
        <f t="shared" si="1"/>
        <v>0</v>
      </c>
      <c r="Q43" s="101" t="str">
        <f t="shared" si="2"/>
        <v/>
      </c>
      <c r="R43" s="158" t="str">
        <f t="shared" si="3"/>
        <v/>
      </c>
    </row>
    <row r="44" spans="1:32" ht="15" customHeight="1" x14ac:dyDescent="0.15">
      <c r="A44" s="238"/>
      <c r="B44" s="279"/>
      <c r="C44" s="249"/>
      <c r="D44" s="112">
        <f t="shared" si="4"/>
        <v>42</v>
      </c>
      <c r="E44" s="152"/>
      <c r="F44" s="88"/>
      <c r="G44" s="91"/>
      <c r="H44" s="91"/>
      <c r="I44" s="91"/>
      <c r="J44" s="91"/>
      <c r="K44" s="91"/>
      <c r="L44" s="91"/>
      <c r="M44" s="91"/>
      <c r="N44" s="95"/>
      <c r="O44" s="103" t="str">
        <f t="shared" si="0"/>
        <v/>
      </c>
      <c r="P44" s="104">
        <f t="shared" si="1"/>
        <v>0</v>
      </c>
      <c r="Q44" s="101" t="str">
        <f t="shared" si="2"/>
        <v/>
      </c>
      <c r="R44" s="158" t="str">
        <f t="shared" si="3"/>
        <v/>
      </c>
    </row>
    <row r="45" spans="1:32" ht="15" customHeight="1" x14ac:dyDescent="0.15">
      <c r="A45" s="238"/>
      <c r="B45" s="279"/>
      <c r="C45" s="249"/>
      <c r="D45" s="112">
        <f t="shared" si="4"/>
        <v>43</v>
      </c>
      <c r="E45" s="152"/>
      <c r="F45" s="88"/>
      <c r="G45" s="91"/>
      <c r="H45" s="91"/>
      <c r="I45" s="91"/>
      <c r="J45" s="91"/>
      <c r="K45" s="91"/>
      <c r="L45" s="91"/>
      <c r="M45" s="91"/>
      <c r="N45" s="95"/>
      <c r="O45" s="103" t="str">
        <f t="shared" si="0"/>
        <v/>
      </c>
      <c r="P45" s="104">
        <f t="shared" si="1"/>
        <v>0</v>
      </c>
      <c r="Q45" s="101" t="str">
        <f t="shared" si="2"/>
        <v/>
      </c>
      <c r="R45" s="158" t="str">
        <f t="shared" si="3"/>
        <v/>
      </c>
    </row>
    <row r="46" spans="1:32" ht="15" customHeight="1" x14ac:dyDescent="0.15">
      <c r="A46" s="238"/>
      <c r="B46" s="279"/>
      <c r="C46" s="249"/>
      <c r="D46" s="112">
        <f t="shared" si="4"/>
        <v>44</v>
      </c>
      <c r="E46" s="152"/>
      <c r="F46" s="88"/>
      <c r="G46" s="91"/>
      <c r="H46" s="91"/>
      <c r="I46" s="91"/>
      <c r="J46" s="91"/>
      <c r="K46" s="91"/>
      <c r="L46" s="91"/>
      <c r="M46" s="91"/>
      <c r="N46" s="95"/>
      <c r="O46" s="103" t="str">
        <f t="shared" si="0"/>
        <v/>
      </c>
      <c r="P46" s="104">
        <f t="shared" si="1"/>
        <v>0</v>
      </c>
      <c r="Q46" s="101" t="str">
        <f t="shared" si="2"/>
        <v/>
      </c>
      <c r="R46" s="158" t="str">
        <f t="shared" si="3"/>
        <v/>
      </c>
    </row>
    <row r="47" spans="1:32" ht="15" customHeight="1" x14ac:dyDescent="0.15">
      <c r="A47" s="238"/>
      <c r="B47" s="279"/>
      <c r="C47" s="249"/>
      <c r="D47" s="112">
        <f t="shared" si="4"/>
        <v>45</v>
      </c>
      <c r="E47" s="152"/>
      <c r="F47" s="88"/>
      <c r="G47" s="91"/>
      <c r="H47" s="91"/>
      <c r="I47" s="91"/>
      <c r="J47" s="91"/>
      <c r="K47" s="91"/>
      <c r="L47" s="91"/>
      <c r="M47" s="91"/>
      <c r="N47" s="95"/>
      <c r="O47" s="103" t="str">
        <f t="shared" si="0"/>
        <v/>
      </c>
      <c r="P47" s="104">
        <f t="shared" si="1"/>
        <v>0</v>
      </c>
      <c r="Q47" s="101" t="str">
        <f t="shared" si="2"/>
        <v/>
      </c>
      <c r="R47" s="158" t="str">
        <f t="shared" si="3"/>
        <v/>
      </c>
    </row>
    <row r="48" spans="1:32" ht="15" customHeight="1" x14ac:dyDescent="0.15">
      <c r="A48" s="238"/>
      <c r="B48" s="279"/>
      <c r="C48" s="249"/>
      <c r="D48" s="112">
        <f t="shared" si="4"/>
        <v>46</v>
      </c>
      <c r="E48" s="152"/>
      <c r="F48" s="88"/>
      <c r="G48" s="91"/>
      <c r="H48" s="91"/>
      <c r="I48" s="91"/>
      <c r="J48" s="91"/>
      <c r="K48" s="91"/>
      <c r="L48" s="91"/>
      <c r="M48" s="91"/>
      <c r="N48" s="95"/>
      <c r="O48" s="103" t="str">
        <f t="shared" si="0"/>
        <v/>
      </c>
      <c r="P48" s="104">
        <f t="shared" si="1"/>
        <v>0</v>
      </c>
      <c r="Q48" s="101" t="str">
        <f t="shared" si="2"/>
        <v/>
      </c>
      <c r="R48" s="158" t="str">
        <f t="shared" si="3"/>
        <v/>
      </c>
    </row>
    <row r="49" spans="1:18" ht="15" customHeight="1" x14ac:dyDescent="0.15">
      <c r="A49" s="240"/>
      <c r="B49" s="280"/>
      <c r="C49" s="250"/>
      <c r="D49" s="112">
        <f t="shared" si="4"/>
        <v>47</v>
      </c>
      <c r="E49" s="152"/>
      <c r="F49" s="88"/>
      <c r="G49" s="91"/>
      <c r="H49" s="91"/>
      <c r="I49" s="91"/>
      <c r="J49" s="91"/>
      <c r="K49" s="91"/>
      <c r="L49" s="91"/>
      <c r="M49" s="91"/>
      <c r="N49" s="95"/>
      <c r="O49" s="103" t="str">
        <f t="shared" si="0"/>
        <v/>
      </c>
      <c r="P49" s="104">
        <f t="shared" si="1"/>
        <v>0</v>
      </c>
      <c r="Q49" s="101" t="str">
        <f t="shared" si="2"/>
        <v/>
      </c>
      <c r="R49" s="158" t="str">
        <f t="shared" si="3"/>
        <v/>
      </c>
    </row>
    <row r="50" spans="1:18" ht="15" customHeight="1" x14ac:dyDescent="0.15">
      <c r="A50" s="281" t="s">
        <v>24</v>
      </c>
      <c r="B50" s="282"/>
      <c r="C50" s="249" t="s">
        <v>105</v>
      </c>
      <c r="D50" s="112">
        <f t="shared" si="4"/>
        <v>48</v>
      </c>
      <c r="E50" s="152"/>
      <c r="F50" s="88"/>
      <c r="G50" s="91"/>
      <c r="H50" s="91"/>
      <c r="I50" s="91"/>
      <c r="J50" s="91"/>
      <c r="K50" s="91"/>
      <c r="L50" s="91"/>
      <c r="M50" s="91"/>
      <c r="N50" s="95"/>
      <c r="O50" s="103" t="str">
        <f t="shared" si="0"/>
        <v/>
      </c>
      <c r="P50" s="104">
        <f t="shared" si="1"/>
        <v>0</v>
      </c>
      <c r="Q50" s="101" t="str">
        <f t="shared" si="2"/>
        <v/>
      </c>
      <c r="R50" s="158" t="str">
        <f t="shared" si="3"/>
        <v/>
      </c>
    </row>
    <row r="51" spans="1:18" ht="15" customHeight="1" x14ac:dyDescent="0.15">
      <c r="A51" s="281"/>
      <c r="B51" s="282"/>
      <c r="C51" s="249"/>
      <c r="D51" s="112">
        <f t="shared" si="4"/>
        <v>49</v>
      </c>
      <c r="E51" s="152"/>
      <c r="F51" s="53"/>
      <c r="G51" s="92"/>
      <c r="H51" s="92"/>
      <c r="I51" s="92"/>
      <c r="J51" s="92"/>
      <c r="K51" s="92"/>
      <c r="L51" s="92"/>
      <c r="M51" s="92"/>
      <c r="N51" s="96"/>
      <c r="O51" s="103" t="str">
        <f t="shared" si="0"/>
        <v/>
      </c>
      <c r="P51" s="104">
        <f t="shared" si="1"/>
        <v>0</v>
      </c>
      <c r="Q51" s="101" t="str">
        <f t="shared" si="2"/>
        <v/>
      </c>
      <c r="R51" s="158" t="str">
        <f t="shared" si="3"/>
        <v/>
      </c>
    </row>
    <row r="52" spans="1:18" ht="15" customHeight="1" thickBot="1" x14ac:dyDescent="0.2">
      <c r="A52" s="281"/>
      <c r="B52" s="282"/>
      <c r="C52" s="249"/>
      <c r="D52" s="112">
        <f t="shared" si="4"/>
        <v>50</v>
      </c>
      <c r="E52" s="152"/>
      <c r="F52" s="53"/>
      <c r="G52" s="92"/>
      <c r="H52" s="92"/>
      <c r="I52" s="92"/>
      <c r="J52" s="92"/>
      <c r="K52" s="92"/>
      <c r="L52" s="92"/>
      <c r="M52" s="92"/>
      <c r="N52" s="96"/>
      <c r="O52" s="105" t="str">
        <f t="shared" si="0"/>
        <v/>
      </c>
      <c r="P52" s="106">
        <f t="shared" si="1"/>
        <v>0</v>
      </c>
      <c r="Q52" s="101" t="str">
        <f t="shared" si="2"/>
        <v/>
      </c>
      <c r="R52" s="158" t="str">
        <f t="shared" si="3"/>
        <v/>
      </c>
    </row>
    <row r="53" spans="1:18" ht="12" customHeight="1" x14ac:dyDescent="0.15">
      <c r="A53" s="281"/>
      <c r="B53" s="282"/>
      <c r="C53" s="249"/>
      <c r="D53" s="276" t="s">
        <v>25</v>
      </c>
      <c r="E53" s="276"/>
      <c r="F53" s="276"/>
      <c r="G53" s="156"/>
      <c r="H53" s="156"/>
      <c r="I53" s="156"/>
      <c r="J53" s="156"/>
      <c r="K53" s="156"/>
      <c r="L53" s="156"/>
      <c r="M53" s="156"/>
      <c r="N53" s="156"/>
      <c r="O53" s="114"/>
      <c r="P53" s="114"/>
      <c r="Q53" s="156"/>
      <c r="R53" s="115"/>
    </row>
    <row r="54" spans="1:18" ht="12" customHeight="1" x14ac:dyDescent="0.15">
      <c r="A54" s="281"/>
      <c r="B54" s="282"/>
      <c r="C54" s="249"/>
      <c r="D54" s="277"/>
      <c r="E54" s="277"/>
      <c r="F54" s="277"/>
      <c r="G54" s="157"/>
      <c r="H54" s="157"/>
      <c r="I54" s="157"/>
      <c r="J54" s="157"/>
      <c r="K54" s="157"/>
      <c r="L54" s="157"/>
      <c r="M54" s="157"/>
      <c r="N54" s="157"/>
      <c r="O54" s="157"/>
      <c r="P54" s="157"/>
      <c r="Q54" s="157"/>
      <c r="R54" s="117"/>
    </row>
    <row r="55" spans="1:18" ht="12" customHeight="1" x14ac:dyDescent="0.15">
      <c r="A55" s="281"/>
      <c r="B55" s="282"/>
      <c r="C55" s="249"/>
      <c r="D55" s="274" t="s">
        <v>26</v>
      </c>
      <c r="E55" s="274"/>
      <c r="F55" s="274"/>
      <c r="G55" s="154"/>
      <c r="H55" s="154"/>
      <c r="I55" s="154"/>
      <c r="J55" s="154"/>
      <c r="K55" s="154"/>
      <c r="L55" s="154"/>
      <c r="M55" s="154"/>
      <c r="N55" s="154"/>
      <c r="O55" s="114"/>
      <c r="P55" s="114"/>
      <c r="Q55" s="154"/>
      <c r="R55" s="119"/>
    </row>
    <row r="56" spans="1:18" ht="12" customHeight="1" thickBot="1" x14ac:dyDescent="0.2">
      <c r="A56" s="283"/>
      <c r="B56" s="284"/>
      <c r="C56" s="285"/>
      <c r="D56" s="275"/>
      <c r="E56" s="275"/>
      <c r="F56" s="275"/>
      <c r="G56" s="155"/>
      <c r="H56" s="155"/>
      <c r="I56" s="155"/>
      <c r="J56" s="155"/>
      <c r="K56" s="155"/>
      <c r="L56" s="155"/>
      <c r="M56" s="155"/>
      <c r="N56" s="155"/>
      <c r="O56" s="155"/>
      <c r="P56" s="155"/>
      <c r="Q56" s="155"/>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tabSelected="1" view="pageBreakPreview" zoomScaleNormal="100" zoomScaleSheetLayoutView="100" workbookViewId="0">
      <selection activeCell="G4" sqref="G3:G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67</v>
      </c>
      <c r="H3" s="139"/>
      <c r="I3" s="89">
        <v>100</v>
      </c>
      <c r="J3" s="89">
        <v>45</v>
      </c>
      <c r="K3" s="89"/>
      <c r="L3" s="89"/>
      <c r="M3" s="89"/>
      <c r="N3" s="93"/>
      <c r="O3" s="99">
        <f t="shared" ref="O3:O52" si="0">IF(SUM(G3,I3,,M3)=0,"",AVERAGE(G3,I3,K3,M3))</f>
        <v>83.5</v>
      </c>
      <c r="P3" s="100">
        <f t="shared" ref="P3:P52" si="1">SUM(H3,J3,L3,N3)</f>
        <v>45</v>
      </c>
      <c r="Q3" s="101" t="str">
        <f t="shared" ref="Q3:Q52" si="2">IF(O3="","",IF(O3&gt;=85,"5",IF(O3&gt;=70,"4",IF(O3&gt;=45,"3",IF(O3&gt;=44,"2","1")))))</f>
        <v>4</v>
      </c>
      <c r="R3" s="147" t="str">
        <f t="shared" ref="R3:R52" si="3">IF(O3&lt;44,"再試験",IF(P3&gt;$D$63,"補習",""))</f>
        <v>補習</v>
      </c>
      <c r="T3" s="30" t="s">
        <v>96</v>
      </c>
      <c r="AB3" s="145"/>
      <c r="AC3" s="80"/>
      <c r="AD3" s="79"/>
      <c r="AE3" s="77"/>
      <c r="AF3" s="77"/>
    </row>
    <row r="4" spans="1:32" ht="15" customHeight="1" x14ac:dyDescent="0.15">
      <c r="A4" s="238"/>
      <c r="B4" s="239"/>
      <c r="C4" s="236"/>
      <c r="D4" s="111">
        <f t="shared" ref="D4:D52" si="4">D3+1</f>
        <v>2</v>
      </c>
      <c r="E4" s="82">
        <v>19023</v>
      </c>
      <c r="F4" s="166" t="s">
        <v>135</v>
      </c>
      <c r="G4" s="89">
        <v>65</v>
      </c>
      <c r="H4" s="80"/>
      <c r="I4" s="89">
        <v>92</v>
      </c>
      <c r="J4" s="89">
        <v>46</v>
      </c>
      <c r="K4" s="89"/>
      <c r="L4" s="89"/>
      <c r="M4" s="89"/>
      <c r="N4" s="93"/>
      <c r="O4" s="99">
        <f t="shared" si="0"/>
        <v>78.5</v>
      </c>
      <c r="P4" s="100">
        <f t="shared" si="1"/>
        <v>46</v>
      </c>
      <c r="Q4" s="101" t="str">
        <f t="shared" si="2"/>
        <v>4</v>
      </c>
      <c r="R4" s="147" t="str">
        <f t="shared" si="3"/>
        <v>補習</v>
      </c>
      <c r="T4" s="30" t="s">
        <v>64</v>
      </c>
      <c r="AB4" s="145"/>
      <c r="AC4" s="80"/>
      <c r="AD4" s="79"/>
      <c r="AE4" s="77"/>
      <c r="AF4" s="77"/>
    </row>
    <row r="5" spans="1:32" ht="15" customHeight="1" x14ac:dyDescent="0.15">
      <c r="A5" s="238"/>
      <c r="B5" s="239"/>
      <c r="C5" s="236"/>
      <c r="D5" s="111">
        <f t="shared" si="4"/>
        <v>3</v>
      </c>
      <c r="E5" s="82">
        <v>19028</v>
      </c>
      <c r="F5" s="87" t="s">
        <v>109</v>
      </c>
      <c r="G5" s="89">
        <v>63</v>
      </c>
      <c r="H5" s="80"/>
      <c r="I5" s="89">
        <v>95</v>
      </c>
      <c r="J5" s="89">
        <v>47</v>
      </c>
      <c r="K5" s="89"/>
      <c r="L5" s="89"/>
      <c r="M5" s="89"/>
      <c r="N5" s="93"/>
      <c r="O5" s="99">
        <f t="shared" si="0"/>
        <v>79</v>
      </c>
      <c r="P5" s="100">
        <f t="shared" si="1"/>
        <v>47</v>
      </c>
      <c r="Q5" s="101" t="str">
        <f t="shared" si="2"/>
        <v>4</v>
      </c>
      <c r="R5" s="147" t="str">
        <f t="shared" si="3"/>
        <v>補習</v>
      </c>
      <c r="T5" s="30" t="s">
        <v>65</v>
      </c>
      <c r="AB5" s="145"/>
      <c r="AC5" s="80"/>
      <c r="AD5" s="79"/>
      <c r="AE5" s="77"/>
      <c r="AF5" s="77"/>
    </row>
    <row r="6" spans="1:32" ht="15" customHeight="1" x14ac:dyDescent="0.15">
      <c r="A6" s="238"/>
      <c r="B6" s="239"/>
      <c r="C6" s="236"/>
      <c r="D6" s="111">
        <f t="shared" si="4"/>
        <v>4</v>
      </c>
      <c r="E6" s="82">
        <v>19038</v>
      </c>
      <c r="F6" s="87" t="s">
        <v>110</v>
      </c>
      <c r="G6" s="89">
        <v>61</v>
      </c>
      <c r="H6" s="80"/>
      <c r="I6" s="89">
        <v>83</v>
      </c>
      <c r="J6" s="89">
        <v>48</v>
      </c>
      <c r="K6" s="89"/>
      <c r="L6" s="89"/>
      <c r="M6" s="89"/>
      <c r="N6" s="93"/>
      <c r="O6" s="99">
        <f t="shared" si="0"/>
        <v>72</v>
      </c>
      <c r="P6" s="100">
        <f t="shared" si="1"/>
        <v>48</v>
      </c>
      <c r="Q6" s="101" t="str">
        <f t="shared" si="2"/>
        <v>4</v>
      </c>
      <c r="R6" s="147" t="str">
        <f t="shared" si="3"/>
        <v>補習</v>
      </c>
      <c r="T6" s="30" t="s">
        <v>66</v>
      </c>
      <c r="AB6" s="145"/>
      <c r="AC6" s="80"/>
      <c r="AD6" s="79"/>
      <c r="AE6" s="77"/>
      <c r="AF6" s="77"/>
    </row>
    <row r="7" spans="1:32" ht="15" customHeight="1" x14ac:dyDescent="0.15">
      <c r="A7" s="240"/>
      <c r="B7" s="241"/>
      <c r="C7" s="237"/>
      <c r="D7" s="111">
        <f t="shared" si="4"/>
        <v>5</v>
      </c>
      <c r="E7" s="82">
        <v>19041</v>
      </c>
      <c r="F7" s="87" t="s">
        <v>111</v>
      </c>
      <c r="G7" s="89">
        <v>59</v>
      </c>
      <c r="H7" s="80"/>
      <c r="I7" s="89"/>
      <c r="J7" s="89">
        <v>49</v>
      </c>
      <c r="K7" s="89"/>
      <c r="L7" s="89"/>
      <c r="M7" s="89"/>
      <c r="N7" s="93"/>
      <c r="O7" s="99">
        <f t="shared" si="0"/>
        <v>59</v>
      </c>
      <c r="P7" s="100">
        <f t="shared" si="1"/>
        <v>49</v>
      </c>
      <c r="Q7" s="101" t="str">
        <f t="shared" si="2"/>
        <v>3</v>
      </c>
      <c r="R7" s="147" t="str">
        <f t="shared" si="3"/>
        <v>補習</v>
      </c>
      <c r="U7" s="30" t="s">
        <v>70</v>
      </c>
      <c r="AB7" s="145"/>
      <c r="AC7" s="80"/>
      <c r="AD7" s="79"/>
      <c r="AE7" s="77"/>
      <c r="AF7" s="77"/>
    </row>
    <row r="8" spans="1:32" ht="15" customHeight="1" x14ac:dyDescent="0.15">
      <c r="A8" s="238" t="s">
        <v>92</v>
      </c>
      <c r="B8" s="239"/>
      <c r="C8" s="235" t="str">
        <f ca="1">RIGHT(CELL("filename",A1),LEN(CELL("filename",A1))-FIND("]",CELL("filename",A1)))</f>
        <v>PowerPoint</v>
      </c>
      <c r="D8" s="111">
        <f t="shared" si="4"/>
        <v>6</v>
      </c>
      <c r="E8" s="82">
        <v>19052</v>
      </c>
      <c r="F8" s="87" t="s">
        <v>112</v>
      </c>
      <c r="G8" s="89">
        <v>57</v>
      </c>
      <c r="H8" s="80"/>
      <c r="I8" s="89"/>
      <c r="J8" s="89">
        <v>50</v>
      </c>
      <c r="K8" s="89"/>
      <c r="L8" s="89"/>
      <c r="M8" s="89"/>
      <c r="N8" s="93"/>
      <c r="O8" s="99">
        <f t="shared" si="0"/>
        <v>57</v>
      </c>
      <c r="P8" s="100">
        <f t="shared" si="1"/>
        <v>50</v>
      </c>
      <c r="Q8" s="101" t="str">
        <f t="shared" si="2"/>
        <v>3</v>
      </c>
      <c r="R8" s="147" t="str">
        <f t="shared" si="3"/>
        <v>補習</v>
      </c>
      <c r="T8" s="30"/>
      <c r="U8" s="30" t="s">
        <v>72</v>
      </c>
    </row>
    <row r="9" spans="1:32" ht="15" customHeight="1" x14ac:dyDescent="0.15">
      <c r="A9" s="238"/>
      <c r="B9" s="239"/>
      <c r="C9" s="236"/>
      <c r="D9" s="111">
        <f t="shared" si="4"/>
        <v>7</v>
      </c>
      <c r="E9" s="82">
        <v>19059</v>
      </c>
      <c r="F9" s="87" t="s">
        <v>113</v>
      </c>
      <c r="G9" s="89">
        <v>55</v>
      </c>
      <c r="H9" s="80"/>
      <c r="I9" s="89">
        <v>78</v>
      </c>
      <c r="J9" s="89">
        <v>51</v>
      </c>
      <c r="K9" s="89"/>
      <c r="L9" s="89"/>
      <c r="M9" s="89"/>
      <c r="N9" s="93"/>
      <c r="O9" s="99">
        <f t="shared" si="0"/>
        <v>66.5</v>
      </c>
      <c r="P9" s="100">
        <f t="shared" si="1"/>
        <v>51</v>
      </c>
      <c r="Q9" s="101" t="str">
        <f t="shared" si="2"/>
        <v>3</v>
      </c>
      <c r="R9" s="147" t="str">
        <f t="shared" si="3"/>
        <v>補習</v>
      </c>
      <c r="T9" s="30"/>
      <c r="AB9" s="145"/>
      <c r="AC9" s="80"/>
      <c r="AD9" s="79"/>
      <c r="AE9" s="77"/>
      <c r="AF9" s="77"/>
    </row>
    <row r="10" spans="1:32" ht="15" customHeight="1" x14ac:dyDescent="0.15">
      <c r="A10" s="238"/>
      <c r="B10" s="239"/>
      <c r="C10" s="236"/>
      <c r="D10" s="111">
        <f t="shared" si="4"/>
        <v>8</v>
      </c>
      <c r="E10" s="82">
        <v>19069</v>
      </c>
      <c r="F10" s="87" t="s">
        <v>114</v>
      </c>
      <c r="G10" s="89">
        <v>53</v>
      </c>
      <c r="H10" s="80"/>
      <c r="I10" s="89">
        <v>100</v>
      </c>
      <c r="J10" s="89">
        <v>52</v>
      </c>
      <c r="K10" s="89"/>
      <c r="L10" s="89"/>
      <c r="M10" s="89"/>
      <c r="N10" s="93"/>
      <c r="O10" s="99">
        <f t="shared" si="0"/>
        <v>76.5</v>
      </c>
      <c r="P10" s="100">
        <f t="shared" si="1"/>
        <v>52</v>
      </c>
      <c r="Q10" s="101" t="str">
        <f t="shared" si="2"/>
        <v>4</v>
      </c>
      <c r="R10" s="147" t="str">
        <f t="shared" si="3"/>
        <v>補習</v>
      </c>
      <c r="T10" s="30"/>
      <c r="U10" s="30" t="s">
        <v>71</v>
      </c>
      <c r="AB10" s="145"/>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47" t="str">
        <f t="shared" si="3"/>
        <v/>
      </c>
      <c r="AB11" s="145"/>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47" t="str">
        <f t="shared" si="3"/>
        <v/>
      </c>
      <c r="T12" s="30"/>
      <c r="AB12" s="145"/>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47" t="str">
        <f t="shared" si="3"/>
        <v/>
      </c>
      <c r="U13" s="30"/>
      <c r="AB13" s="145"/>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47" t="str">
        <f t="shared" si="3"/>
        <v/>
      </c>
      <c r="AB14" s="145"/>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47" t="str">
        <f t="shared" si="3"/>
        <v/>
      </c>
      <c r="AB15" s="145"/>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47" t="str">
        <f t="shared" si="3"/>
        <v/>
      </c>
      <c r="AB16" s="145"/>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47" t="str">
        <f t="shared" si="3"/>
        <v/>
      </c>
      <c r="AB17" s="145"/>
      <c r="AC17" s="80"/>
      <c r="AD17" s="79"/>
      <c r="AE17" s="77"/>
      <c r="AF17" s="77"/>
    </row>
    <row r="18" spans="1:32" ht="15" customHeight="1" x14ac:dyDescent="0.15">
      <c r="A18" s="242" t="s">
        <v>20</v>
      </c>
      <c r="B18" s="243"/>
      <c r="C18" s="251">
        <f>SUM(C23:C42)</f>
        <v>64</v>
      </c>
      <c r="D18" s="111">
        <f t="shared" si="4"/>
        <v>16</v>
      </c>
      <c r="E18" s="82"/>
      <c r="F18" s="87"/>
      <c r="G18" s="89"/>
      <c r="H18" s="89"/>
      <c r="I18" s="89"/>
      <c r="J18" s="89"/>
      <c r="K18" s="89"/>
      <c r="L18" s="89"/>
      <c r="M18" s="89"/>
      <c r="N18" s="93"/>
      <c r="O18" s="99" t="str">
        <f t="shared" si="0"/>
        <v/>
      </c>
      <c r="P18" s="100">
        <f t="shared" si="1"/>
        <v>0</v>
      </c>
      <c r="Q18" s="101" t="str">
        <f t="shared" si="2"/>
        <v/>
      </c>
      <c r="R18" s="147" t="str">
        <f t="shared" si="3"/>
        <v/>
      </c>
      <c r="AB18" s="145"/>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47" t="str">
        <f t="shared" si="3"/>
        <v/>
      </c>
      <c r="AB19" s="145"/>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47" t="str">
        <f t="shared" si="3"/>
        <v/>
      </c>
      <c r="AB20" s="145"/>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47" t="str">
        <f t="shared" si="3"/>
        <v/>
      </c>
      <c r="AB21" s="145"/>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47" t="str">
        <f t="shared" si="3"/>
        <v/>
      </c>
      <c r="AB22" s="145"/>
      <c r="AC22" s="80"/>
      <c r="AD22" s="79"/>
      <c r="AE22" s="77"/>
      <c r="AF22" s="77"/>
    </row>
    <row r="23" spans="1:32" ht="15" customHeight="1" x14ac:dyDescent="0.15">
      <c r="A23" s="242" t="s">
        <v>91</v>
      </c>
      <c r="B23" s="243"/>
      <c r="C23" s="248">
        <v>32</v>
      </c>
      <c r="D23" s="111">
        <f t="shared" si="4"/>
        <v>21</v>
      </c>
      <c r="E23" s="82"/>
      <c r="F23" s="87"/>
      <c r="G23" s="89"/>
      <c r="H23" s="89"/>
      <c r="I23" s="89"/>
      <c r="J23" s="89"/>
      <c r="K23" s="89"/>
      <c r="L23" s="89"/>
      <c r="M23" s="89"/>
      <c r="N23" s="93"/>
      <c r="O23" s="99" t="str">
        <f t="shared" si="0"/>
        <v/>
      </c>
      <c r="P23" s="100">
        <f t="shared" si="1"/>
        <v>0</v>
      </c>
      <c r="Q23" s="101" t="str">
        <f t="shared" si="2"/>
        <v/>
      </c>
      <c r="R23" s="147" t="str">
        <f t="shared" si="3"/>
        <v/>
      </c>
      <c r="AB23" s="145"/>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47" t="str">
        <f t="shared" si="3"/>
        <v/>
      </c>
      <c r="AB24" s="145"/>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47" t="str">
        <f t="shared" si="3"/>
        <v/>
      </c>
      <c r="AB25" s="145"/>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47" t="str">
        <f t="shared" si="3"/>
        <v/>
      </c>
      <c r="AB26" s="145"/>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47" t="str">
        <f t="shared" si="3"/>
        <v/>
      </c>
      <c r="AB27" s="145"/>
      <c r="AC27" s="80"/>
      <c r="AD27" s="79"/>
      <c r="AE27" s="77"/>
      <c r="AF27" s="77"/>
    </row>
    <row r="28" spans="1:32" ht="15" customHeight="1" x14ac:dyDescent="0.15">
      <c r="A28" s="242" t="s">
        <v>93</v>
      </c>
      <c r="B28" s="243"/>
      <c r="C28" s="248">
        <v>32</v>
      </c>
      <c r="D28" s="111">
        <f t="shared" si="4"/>
        <v>26</v>
      </c>
      <c r="E28" s="82"/>
      <c r="F28" s="87"/>
      <c r="G28" s="89"/>
      <c r="H28" s="89"/>
      <c r="I28" s="89"/>
      <c r="J28" s="89"/>
      <c r="K28" s="89"/>
      <c r="L28" s="89"/>
      <c r="M28" s="89"/>
      <c r="N28" s="93"/>
      <c r="O28" s="99" t="str">
        <f t="shared" si="0"/>
        <v/>
      </c>
      <c r="P28" s="100">
        <f t="shared" si="1"/>
        <v>0</v>
      </c>
      <c r="Q28" s="101" t="str">
        <f t="shared" si="2"/>
        <v/>
      </c>
      <c r="R28" s="147" t="str">
        <f t="shared" si="3"/>
        <v/>
      </c>
      <c r="AB28" s="145"/>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47" t="str">
        <f t="shared" si="3"/>
        <v/>
      </c>
      <c r="AB29" s="145"/>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47" t="str">
        <f t="shared" si="3"/>
        <v/>
      </c>
      <c r="AB30" s="145"/>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47"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47" t="str">
        <f t="shared" si="3"/>
        <v/>
      </c>
      <c r="AB32" s="145"/>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47" t="str">
        <f t="shared" si="3"/>
        <v/>
      </c>
      <c r="AB33" s="145"/>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47" t="str">
        <f t="shared" si="3"/>
        <v/>
      </c>
      <c r="AB34" s="145"/>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47" t="str">
        <f t="shared" si="3"/>
        <v/>
      </c>
      <c r="AB35" s="145"/>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47"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47"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47"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47"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47"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47" t="str">
        <f t="shared" si="3"/>
        <v/>
      </c>
    </row>
    <row r="42" spans="1:32" ht="15" customHeight="1" x14ac:dyDescent="0.15">
      <c r="A42" s="246"/>
      <c r="B42" s="247"/>
      <c r="C42" s="250"/>
      <c r="D42" s="112">
        <f t="shared" si="4"/>
        <v>40</v>
      </c>
      <c r="E42" s="146"/>
      <c r="F42" s="88"/>
      <c r="G42" s="91"/>
      <c r="H42" s="91"/>
      <c r="I42" s="91"/>
      <c r="J42" s="91"/>
      <c r="K42" s="91"/>
      <c r="L42" s="91"/>
      <c r="M42" s="91"/>
      <c r="N42" s="95"/>
      <c r="O42" s="103" t="str">
        <f t="shared" si="0"/>
        <v/>
      </c>
      <c r="P42" s="104">
        <f t="shared" si="1"/>
        <v>0</v>
      </c>
      <c r="Q42" s="101" t="str">
        <f t="shared" si="2"/>
        <v/>
      </c>
      <c r="R42" s="147" t="str">
        <f t="shared" si="3"/>
        <v/>
      </c>
    </row>
    <row r="43" spans="1:32" ht="15" customHeight="1" x14ac:dyDescent="0.15">
      <c r="A43" s="271" t="s">
        <v>21</v>
      </c>
      <c r="B43" s="278"/>
      <c r="C43" s="248" t="s">
        <v>105</v>
      </c>
      <c r="D43" s="112">
        <f t="shared" si="4"/>
        <v>41</v>
      </c>
      <c r="E43" s="146"/>
      <c r="F43" s="88"/>
      <c r="G43" s="91"/>
      <c r="H43" s="91"/>
      <c r="I43" s="91"/>
      <c r="J43" s="91"/>
      <c r="K43" s="91"/>
      <c r="L43" s="91"/>
      <c r="M43" s="91"/>
      <c r="N43" s="95"/>
      <c r="O43" s="103" t="str">
        <f t="shared" si="0"/>
        <v/>
      </c>
      <c r="P43" s="104">
        <f t="shared" si="1"/>
        <v>0</v>
      </c>
      <c r="Q43" s="101" t="str">
        <f t="shared" si="2"/>
        <v/>
      </c>
      <c r="R43" s="147" t="str">
        <f t="shared" si="3"/>
        <v/>
      </c>
    </row>
    <row r="44" spans="1:32" ht="15" customHeight="1" x14ac:dyDescent="0.15">
      <c r="A44" s="238"/>
      <c r="B44" s="279"/>
      <c r="C44" s="249"/>
      <c r="D44" s="112">
        <f t="shared" si="4"/>
        <v>42</v>
      </c>
      <c r="E44" s="146"/>
      <c r="F44" s="88"/>
      <c r="G44" s="91"/>
      <c r="H44" s="91"/>
      <c r="I44" s="91"/>
      <c r="J44" s="91"/>
      <c r="K44" s="91"/>
      <c r="L44" s="91"/>
      <c r="M44" s="91"/>
      <c r="N44" s="95"/>
      <c r="O44" s="103" t="str">
        <f t="shared" si="0"/>
        <v/>
      </c>
      <c r="P44" s="104">
        <f t="shared" si="1"/>
        <v>0</v>
      </c>
      <c r="Q44" s="101" t="str">
        <f t="shared" si="2"/>
        <v/>
      </c>
      <c r="R44" s="147" t="str">
        <f t="shared" si="3"/>
        <v/>
      </c>
    </row>
    <row r="45" spans="1:32" ht="15" customHeight="1" x14ac:dyDescent="0.15">
      <c r="A45" s="238"/>
      <c r="B45" s="279"/>
      <c r="C45" s="249"/>
      <c r="D45" s="112">
        <f t="shared" si="4"/>
        <v>43</v>
      </c>
      <c r="E45" s="146"/>
      <c r="F45" s="88"/>
      <c r="G45" s="91"/>
      <c r="H45" s="91"/>
      <c r="I45" s="91"/>
      <c r="J45" s="91"/>
      <c r="K45" s="91"/>
      <c r="L45" s="91"/>
      <c r="M45" s="91"/>
      <c r="N45" s="95"/>
      <c r="O45" s="103" t="str">
        <f t="shared" si="0"/>
        <v/>
      </c>
      <c r="P45" s="104">
        <f t="shared" si="1"/>
        <v>0</v>
      </c>
      <c r="Q45" s="101" t="str">
        <f t="shared" si="2"/>
        <v/>
      </c>
      <c r="R45" s="147" t="str">
        <f t="shared" si="3"/>
        <v/>
      </c>
    </row>
    <row r="46" spans="1:32" ht="15" customHeight="1" x14ac:dyDescent="0.15">
      <c r="A46" s="238"/>
      <c r="B46" s="279"/>
      <c r="C46" s="249"/>
      <c r="D46" s="112">
        <f t="shared" si="4"/>
        <v>44</v>
      </c>
      <c r="E46" s="146"/>
      <c r="F46" s="88"/>
      <c r="G46" s="91"/>
      <c r="H46" s="91"/>
      <c r="I46" s="91"/>
      <c r="J46" s="91"/>
      <c r="K46" s="91"/>
      <c r="L46" s="91"/>
      <c r="M46" s="91"/>
      <c r="N46" s="95"/>
      <c r="O46" s="103" t="str">
        <f t="shared" si="0"/>
        <v/>
      </c>
      <c r="P46" s="104">
        <f t="shared" si="1"/>
        <v>0</v>
      </c>
      <c r="Q46" s="101" t="str">
        <f t="shared" si="2"/>
        <v/>
      </c>
      <c r="R46" s="147" t="str">
        <f t="shared" si="3"/>
        <v/>
      </c>
    </row>
    <row r="47" spans="1:32" ht="15" customHeight="1" x14ac:dyDescent="0.15">
      <c r="A47" s="238"/>
      <c r="B47" s="279"/>
      <c r="C47" s="249"/>
      <c r="D47" s="112">
        <f t="shared" si="4"/>
        <v>45</v>
      </c>
      <c r="E47" s="146"/>
      <c r="F47" s="88"/>
      <c r="G47" s="91"/>
      <c r="H47" s="91"/>
      <c r="I47" s="91"/>
      <c r="J47" s="91"/>
      <c r="K47" s="91"/>
      <c r="L47" s="91"/>
      <c r="M47" s="91"/>
      <c r="N47" s="95"/>
      <c r="O47" s="103" t="str">
        <f t="shared" si="0"/>
        <v/>
      </c>
      <c r="P47" s="104">
        <f t="shared" si="1"/>
        <v>0</v>
      </c>
      <c r="Q47" s="101" t="str">
        <f t="shared" si="2"/>
        <v/>
      </c>
      <c r="R47" s="147" t="str">
        <f t="shared" si="3"/>
        <v/>
      </c>
    </row>
    <row r="48" spans="1:32" ht="15" customHeight="1" x14ac:dyDescent="0.15">
      <c r="A48" s="238"/>
      <c r="B48" s="279"/>
      <c r="C48" s="249"/>
      <c r="D48" s="112">
        <f t="shared" si="4"/>
        <v>46</v>
      </c>
      <c r="E48" s="146"/>
      <c r="F48" s="88"/>
      <c r="G48" s="91"/>
      <c r="H48" s="91"/>
      <c r="I48" s="91"/>
      <c r="J48" s="91"/>
      <c r="K48" s="91"/>
      <c r="L48" s="91"/>
      <c r="M48" s="91"/>
      <c r="N48" s="95"/>
      <c r="O48" s="103" t="str">
        <f t="shared" si="0"/>
        <v/>
      </c>
      <c r="P48" s="104">
        <f t="shared" si="1"/>
        <v>0</v>
      </c>
      <c r="Q48" s="101" t="str">
        <f t="shared" si="2"/>
        <v/>
      </c>
      <c r="R48" s="147" t="str">
        <f t="shared" si="3"/>
        <v/>
      </c>
    </row>
    <row r="49" spans="1:18" ht="15" customHeight="1" x14ac:dyDescent="0.15">
      <c r="A49" s="240"/>
      <c r="B49" s="280"/>
      <c r="C49" s="250"/>
      <c r="D49" s="112">
        <f t="shared" si="4"/>
        <v>47</v>
      </c>
      <c r="E49" s="146"/>
      <c r="F49" s="88"/>
      <c r="G49" s="91"/>
      <c r="H49" s="91"/>
      <c r="I49" s="91"/>
      <c r="J49" s="91"/>
      <c r="K49" s="91"/>
      <c r="L49" s="91"/>
      <c r="M49" s="91"/>
      <c r="N49" s="95"/>
      <c r="O49" s="103" t="str">
        <f t="shared" si="0"/>
        <v/>
      </c>
      <c r="P49" s="104">
        <f t="shared" si="1"/>
        <v>0</v>
      </c>
      <c r="Q49" s="101" t="str">
        <f t="shared" si="2"/>
        <v/>
      </c>
      <c r="R49" s="147" t="str">
        <f t="shared" si="3"/>
        <v/>
      </c>
    </row>
    <row r="50" spans="1:18" ht="15" customHeight="1" x14ac:dyDescent="0.15">
      <c r="A50" s="281" t="s">
        <v>24</v>
      </c>
      <c r="B50" s="282"/>
      <c r="C50" s="249" t="s">
        <v>105</v>
      </c>
      <c r="D50" s="112">
        <f t="shared" si="4"/>
        <v>48</v>
      </c>
      <c r="E50" s="146"/>
      <c r="F50" s="88"/>
      <c r="G50" s="91"/>
      <c r="H50" s="91"/>
      <c r="I50" s="91"/>
      <c r="J50" s="91"/>
      <c r="K50" s="91"/>
      <c r="L50" s="91"/>
      <c r="M50" s="91"/>
      <c r="N50" s="95"/>
      <c r="O50" s="103" t="str">
        <f t="shared" si="0"/>
        <v/>
      </c>
      <c r="P50" s="104">
        <f t="shared" si="1"/>
        <v>0</v>
      </c>
      <c r="Q50" s="101" t="str">
        <f t="shared" si="2"/>
        <v/>
      </c>
      <c r="R50" s="147" t="str">
        <f t="shared" si="3"/>
        <v/>
      </c>
    </row>
    <row r="51" spans="1:18" ht="15" customHeight="1" x14ac:dyDescent="0.15">
      <c r="A51" s="281"/>
      <c r="B51" s="282"/>
      <c r="C51" s="249"/>
      <c r="D51" s="112">
        <f t="shared" si="4"/>
        <v>49</v>
      </c>
      <c r="E51" s="146"/>
      <c r="F51" s="53"/>
      <c r="G51" s="92"/>
      <c r="H51" s="92"/>
      <c r="I51" s="92"/>
      <c r="J51" s="92"/>
      <c r="K51" s="92"/>
      <c r="L51" s="92"/>
      <c r="M51" s="92"/>
      <c r="N51" s="96"/>
      <c r="O51" s="103" t="str">
        <f t="shared" si="0"/>
        <v/>
      </c>
      <c r="P51" s="104">
        <f t="shared" si="1"/>
        <v>0</v>
      </c>
      <c r="Q51" s="101" t="str">
        <f t="shared" si="2"/>
        <v/>
      </c>
      <c r="R51" s="147" t="str">
        <f t="shared" si="3"/>
        <v/>
      </c>
    </row>
    <row r="52" spans="1:18" ht="15" customHeight="1" thickBot="1" x14ac:dyDescent="0.2">
      <c r="A52" s="281"/>
      <c r="B52" s="282"/>
      <c r="C52" s="249"/>
      <c r="D52" s="112">
        <f t="shared" si="4"/>
        <v>50</v>
      </c>
      <c r="E52" s="146"/>
      <c r="F52" s="53"/>
      <c r="G52" s="92"/>
      <c r="H52" s="92"/>
      <c r="I52" s="92"/>
      <c r="J52" s="92"/>
      <c r="K52" s="92"/>
      <c r="L52" s="92"/>
      <c r="M52" s="92"/>
      <c r="N52" s="96"/>
      <c r="O52" s="105" t="str">
        <f t="shared" si="0"/>
        <v/>
      </c>
      <c r="P52" s="106">
        <f t="shared" si="1"/>
        <v>0</v>
      </c>
      <c r="Q52" s="101" t="str">
        <f t="shared" si="2"/>
        <v/>
      </c>
      <c r="R52" s="147" t="str">
        <f t="shared" si="3"/>
        <v/>
      </c>
    </row>
    <row r="53" spans="1:18" ht="12" customHeight="1" x14ac:dyDescent="0.15">
      <c r="A53" s="281"/>
      <c r="B53" s="282"/>
      <c r="C53" s="249"/>
      <c r="D53" s="276" t="s">
        <v>25</v>
      </c>
      <c r="E53" s="276"/>
      <c r="F53" s="276"/>
      <c r="G53" s="150"/>
      <c r="H53" s="150"/>
      <c r="I53" s="150"/>
      <c r="J53" s="150"/>
      <c r="K53" s="150"/>
      <c r="L53" s="150"/>
      <c r="M53" s="150"/>
      <c r="N53" s="150"/>
      <c r="O53" s="114"/>
      <c r="P53" s="114"/>
      <c r="Q53" s="150"/>
      <c r="R53" s="115"/>
    </row>
    <row r="54" spans="1:18" ht="12" customHeight="1" x14ac:dyDescent="0.15">
      <c r="A54" s="281"/>
      <c r="B54" s="282"/>
      <c r="C54" s="249"/>
      <c r="D54" s="277"/>
      <c r="E54" s="277"/>
      <c r="F54" s="277"/>
      <c r="G54" s="151"/>
      <c r="H54" s="151"/>
      <c r="I54" s="151"/>
      <c r="J54" s="151"/>
      <c r="K54" s="151"/>
      <c r="L54" s="151"/>
      <c r="M54" s="151"/>
      <c r="N54" s="151"/>
      <c r="O54" s="151"/>
      <c r="P54" s="151"/>
      <c r="Q54" s="151"/>
      <c r="R54" s="117"/>
    </row>
    <row r="55" spans="1:18" ht="12" customHeight="1" x14ac:dyDescent="0.15">
      <c r="A55" s="281"/>
      <c r="B55" s="282"/>
      <c r="C55" s="249"/>
      <c r="D55" s="274" t="s">
        <v>26</v>
      </c>
      <c r="E55" s="274"/>
      <c r="F55" s="274"/>
      <c r="G55" s="148"/>
      <c r="H55" s="148"/>
      <c r="I55" s="148"/>
      <c r="J55" s="148"/>
      <c r="K55" s="148"/>
      <c r="L55" s="148"/>
      <c r="M55" s="148"/>
      <c r="N55" s="148"/>
      <c r="O55" s="114"/>
      <c r="P55" s="114"/>
      <c r="Q55" s="148"/>
      <c r="R55" s="119"/>
    </row>
    <row r="56" spans="1:18" ht="12" customHeight="1" thickBot="1" x14ac:dyDescent="0.2">
      <c r="A56" s="283"/>
      <c r="B56" s="284"/>
      <c r="C56" s="285"/>
      <c r="D56" s="275"/>
      <c r="E56" s="275"/>
      <c r="F56" s="275"/>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tabSelected="1" view="pageBreakPreview" topLeftCell="E1" zoomScaleNormal="100" zoomScaleSheetLayoutView="100" workbookViewId="0">
      <selection activeCell="G4" sqref="G3:G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67</v>
      </c>
      <c r="H3" s="139"/>
      <c r="I3" s="89"/>
      <c r="J3" s="89">
        <v>45</v>
      </c>
      <c r="K3" s="89"/>
      <c r="L3" s="89"/>
      <c r="M3" s="89"/>
      <c r="N3" s="93"/>
      <c r="O3" s="99">
        <f t="shared" ref="O3:O52" si="0">IF(SUM(G3,I3,,M3)=0,"",AVERAGE(G3,I3,K3,M3))</f>
        <v>67</v>
      </c>
      <c r="P3" s="100">
        <f t="shared" ref="P3:P52" si="1">SUM(H3,J3,L3,N3)</f>
        <v>45</v>
      </c>
      <c r="Q3" s="101" t="str">
        <f t="shared" ref="Q3:Q52" si="2">IF(O3="","",IF(O3&gt;=85,"5",IF(O3&gt;=70,"4",IF(O3&gt;=45,"3",IF(O3&gt;=44,"2","1")))))</f>
        <v>3</v>
      </c>
      <c r="R3" s="147" t="str">
        <f t="shared" ref="R3:R52" si="3">IF(O3&lt;44,"再試験",IF(P3&gt;$D$63,"補習",""))</f>
        <v>補習</v>
      </c>
      <c r="T3" s="30" t="s">
        <v>96</v>
      </c>
      <c r="AB3" s="145"/>
      <c r="AC3" s="80"/>
      <c r="AD3" s="79"/>
      <c r="AE3" s="77"/>
      <c r="AF3" s="77"/>
    </row>
    <row r="4" spans="1:32" ht="15" customHeight="1" x14ac:dyDescent="0.15">
      <c r="A4" s="238"/>
      <c r="B4" s="239"/>
      <c r="C4" s="236"/>
      <c r="D4" s="111">
        <f t="shared" ref="D4:D52" si="4">D3+1</f>
        <v>2</v>
      </c>
      <c r="E4" s="82">
        <v>19023</v>
      </c>
      <c r="F4" s="87" t="s">
        <v>117</v>
      </c>
      <c r="G4" s="89">
        <v>65</v>
      </c>
      <c r="H4" s="80"/>
      <c r="I4" s="89"/>
      <c r="J4" s="89">
        <v>46</v>
      </c>
      <c r="K4" s="89"/>
      <c r="L4" s="89"/>
      <c r="M4" s="89"/>
      <c r="N4" s="93"/>
      <c r="O4" s="99">
        <f t="shared" si="0"/>
        <v>65</v>
      </c>
      <c r="P4" s="100">
        <f t="shared" si="1"/>
        <v>46</v>
      </c>
      <c r="Q4" s="101" t="str">
        <f t="shared" si="2"/>
        <v>3</v>
      </c>
      <c r="R4" s="147" t="str">
        <f t="shared" si="3"/>
        <v>補習</v>
      </c>
      <c r="T4" s="30" t="s">
        <v>64</v>
      </c>
      <c r="AB4" s="145"/>
      <c r="AC4" s="80"/>
      <c r="AD4" s="79"/>
      <c r="AE4" s="77"/>
      <c r="AF4" s="77"/>
    </row>
    <row r="5" spans="1:32" ht="15" customHeight="1" x14ac:dyDescent="0.15">
      <c r="A5" s="238"/>
      <c r="B5" s="239"/>
      <c r="C5" s="236"/>
      <c r="D5" s="111">
        <f t="shared" si="4"/>
        <v>3</v>
      </c>
      <c r="E5" s="82">
        <v>19028</v>
      </c>
      <c r="F5" s="87" t="s">
        <v>109</v>
      </c>
      <c r="G5" s="89">
        <v>63</v>
      </c>
      <c r="H5" s="80">
        <v>0</v>
      </c>
      <c r="I5" s="89"/>
      <c r="J5" s="89">
        <v>47</v>
      </c>
      <c r="K5" s="89"/>
      <c r="L5" s="89"/>
      <c r="M5" s="89"/>
      <c r="N5" s="93"/>
      <c r="O5" s="99">
        <f t="shared" si="0"/>
        <v>63</v>
      </c>
      <c r="P5" s="100">
        <f t="shared" si="1"/>
        <v>47</v>
      </c>
      <c r="Q5" s="101" t="str">
        <f t="shared" si="2"/>
        <v>3</v>
      </c>
      <c r="R5" s="147" t="str">
        <f t="shared" si="3"/>
        <v>補習</v>
      </c>
      <c r="T5" s="30" t="s">
        <v>65</v>
      </c>
      <c r="AB5" s="145"/>
      <c r="AC5" s="80"/>
      <c r="AD5" s="79"/>
      <c r="AE5" s="77"/>
      <c r="AF5" s="77"/>
    </row>
    <row r="6" spans="1:32" ht="15" customHeight="1" x14ac:dyDescent="0.15">
      <c r="A6" s="238"/>
      <c r="B6" s="239"/>
      <c r="C6" s="236"/>
      <c r="D6" s="111">
        <f t="shared" si="4"/>
        <v>4</v>
      </c>
      <c r="E6" s="82">
        <v>19038</v>
      </c>
      <c r="F6" s="87" t="s">
        <v>110</v>
      </c>
      <c r="G6" s="89">
        <v>61</v>
      </c>
      <c r="H6" s="80">
        <v>0</v>
      </c>
      <c r="I6" s="89"/>
      <c r="J6" s="89">
        <v>48</v>
      </c>
      <c r="K6" s="89"/>
      <c r="L6" s="89"/>
      <c r="M6" s="89"/>
      <c r="N6" s="93"/>
      <c r="O6" s="99">
        <f t="shared" si="0"/>
        <v>61</v>
      </c>
      <c r="P6" s="100">
        <f t="shared" si="1"/>
        <v>48</v>
      </c>
      <c r="Q6" s="101" t="str">
        <f t="shared" si="2"/>
        <v>3</v>
      </c>
      <c r="R6" s="147" t="str">
        <f t="shared" si="3"/>
        <v>補習</v>
      </c>
      <c r="T6" s="30" t="s">
        <v>66</v>
      </c>
      <c r="AB6" s="145"/>
      <c r="AC6" s="80"/>
      <c r="AD6" s="79"/>
      <c r="AE6" s="77"/>
      <c r="AF6" s="77"/>
    </row>
    <row r="7" spans="1:32" ht="15" customHeight="1" x14ac:dyDescent="0.15">
      <c r="A7" s="240"/>
      <c r="B7" s="241"/>
      <c r="C7" s="237"/>
      <c r="D7" s="111">
        <f t="shared" si="4"/>
        <v>5</v>
      </c>
      <c r="E7" s="82">
        <v>19041</v>
      </c>
      <c r="F7" s="87" t="s">
        <v>111</v>
      </c>
      <c r="G7" s="89">
        <v>59</v>
      </c>
      <c r="H7" s="80">
        <v>12</v>
      </c>
      <c r="I7" s="89"/>
      <c r="J7" s="89">
        <v>49</v>
      </c>
      <c r="K7" s="89"/>
      <c r="L7" s="89"/>
      <c r="M7" s="89"/>
      <c r="N7" s="93"/>
      <c r="O7" s="99">
        <f t="shared" si="0"/>
        <v>59</v>
      </c>
      <c r="P7" s="100">
        <f t="shared" si="1"/>
        <v>61</v>
      </c>
      <c r="Q7" s="101" t="str">
        <f t="shared" si="2"/>
        <v>3</v>
      </c>
      <c r="R7" s="147" t="str">
        <f t="shared" si="3"/>
        <v>補習</v>
      </c>
      <c r="U7" s="30" t="s">
        <v>70</v>
      </c>
      <c r="AB7" s="145"/>
      <c r="AC7" s="80"/>
      <c r="AD7" s="79"/>
      <c r="AE7" s="77"/>
      <c r="AF7" s="77"/>
    </row>
    <row r="8" spans="1:32" ht="15" customHeight="1" x14ac:dyDescent="0.15">
      <c r="A8" s="238" t="s">
        <v>92</v>
      </c>
      <c r="B8" s="239"/>
      <c r="C8" s="235" t="str">
        <f ca="1">RIGHT(CELL("filename",A1),LEN(CELL("filename",A1))-FIND("]",CELL("filename",A1)))</f>
        <v>WEBデザイン演習</v>
      </c>
      <c r="D8" s="111">
        <f t="shared" si="4"/>
        <v>6</v>
      </c>
      <c r="E8" s="82">
        <v>19052</v>
      </c>
      <c r="F8" s="87" t="s">
        <v>112</v>
      </c>
      <c r="G8" s="89">
        <v>57</v>
      </c>
      <c r="H8" s="80">
        <v>9</v>
      </c>
      <c r="I8" s="89"/>
      <c r="J8" s="89">
        <v>50</v>
      </c>
      <c r="K8" s="89"/>
      <c r="L8" s="89"/>
      <c r="M8" s="89"/>
      <c r="N8" s="93"/>
      <c r="O8" s="99">
        <f t="shared" si="0"/>
        <v>57</v>
      </c>
      <c r="P8" s="100">
        <f t="shared" si="1"/>
        <v>59</v>
      </c>
      <c r="Q8" s="101" t="str">
        <f t="shared" si="2"/>
        <v>3</v>
      </c>
      <c r="R8" s="147" t="str">
        <f t="shared" si="3"/>
        <v>補習</v>
      </c>
      <c r="T8" s="30"/>
      <c r="U8" s="30" t="s">
        <v>72</v>
      </c>
    </row>
    <row r="9" spans="1:32" ht="15" customHeight="1" x14ac:dyDescent="0.15">
      <c r="A9" s="238"/>
      <c r="B9" s="239"/>
      <c r="C9" s="236"/>
      <c r="D9" s="111">
        <f t="shared" si="4"/>
        <v>7</v>
      </c>
      <c r="E9" s="82">
        <v>19059</v>
      </c>
      <c r="F9" s="87" t="s">
        <v>113</v>
      </c>
      <c r="G9" s="89">
        <v>55</v>
      </c>
      <c r="H9" s="80"/>
      <c r="I9" s="89"/>
      <c r="J9" s="89">
        <v>51</v>
      </c>
      <c r="K9" s="89"/>
      <c r="L9" s="89"/>
      <c r="M9" s="89"/>
      <c r="N9" s="93"/>
      <c r="O9" s="99">
        <f t="shared" si="0"/>
        <v>55</v>
      </c>
      <c r="P9" s="100">
        <f t="shared" si="1"/>
        <v>51</v>
      </c>
      <c r="Q9" s="101" t="str">
        <f t="shared" si="2"/>
        <v>3</v>
      </c>
      <c r="R9" s="147" t="str">
        <f t="shared" si="3"/>
        <v>補習</v>
      </c>
      <c r="T9" s="30"/>
      <c r="AB9" s="145"/>
      <c r="AC9" s="80"/>
      <c r="AD9" s="79"/>
      <c r="AE9" s="77"/>
      <c r="AF9" s="77"/>
    </row>
    <row r="10" spans="1:32" ht="15" customHeight="1" x14ac:dyDescent="0.15">
      <c r="A10" s="238"/>
      <c r="B10" s="239"/>
      <c r="C10" s="236"/>
      <c r="D10" s="111">
        <f t="shared" si="4"/>
        <v>8</v>
      </c>
      <c r="E10" s="82">
        <v>19069</v>
      </c>
      <c r="F10" s="87" t="s">
        <v>114</v>
      </c>
      <c r="G10" s="89">
        <v>53</v>
      </c>
      <c r="H10" s="80">
        <v>6</v>
      </c>
      <c r="I10" s="89"/>
      <c r="J10" s="89">
        <v>52</v>
      </c>
      <c r="K10" s="89"/>
      <c r="L10" s="89"/>
      <c r="M10" s="89"/>
      <c r="N10" s="93"/>
      <c r="O10" s="99">
        <f t="shared" si="0"/>
        <v>53</v>
      </c>
      <c r="P10" s="100">
        <f t="shared" si="1"/>
        <v>58</v>
      </c>
      <c r="Q10" s="101" t="str">
        <f t="shared" si="2"/>
        <v>3</v>
      </c>
      <c r="R10" s="147" t="str">
        <f t="shared" si="3"/>
        <v>補習</v>
      </c>
      <c r="T10" s="30"/>
      <c r="U10" s="30" t="s">
        <v>71</v>
      </c>
      <c r="AB10" s="145"/>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47" t="str">
        <f t="shared" si="3"/>
        <v/>
      </c>
      <c r="AB11" s="145"/>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47" t="str">
        <f t="shared" si="3"/>
        <v/>
      </c>
      <c r="T12" s="30"/>
      <c r="AB12" s="145"/>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47" t="str">
        <f t="shared" si="3"/>
        <v/>
      </c>
      <c r="U13" s="30"/>
      <c r="AB13" s="145"/>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47" t="str">
        <f t="shared" si="3"/>
        <v/>
      </c>
      <c r="AB14" s="145"/>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47" t="str">
        <f t="shared" si="3"/>
        <v/>
      </c>
      <c r="AB15" s="145"/>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47" t="str">
        <f t="shared" si="3"/>
        <v/>
      </c>
      <c r="AB16" s="145"/>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47" t="str">
        <f t="shared" si="3"/>
        <v/>
      </c>
      <c r="AB17" s="145"/>
      <c r="AC17" s="80"/>
      <c r="AD17" s="79"/>
      <c r="AE17" s="77"/>
      <c r="AF17" s="77"/>
    </row>
    <row r="18" spans="1:32" ht="15" customHeight="1" x14ac:dyDescent="0.15">
      <c r="A18" s="242" t="s">
        <v>20</v>
      </c>
      <c r="B18" s="243"/>
      <c r="C18" s="251">
        <f>SUM(C23:C42)</f>
        <v>128</v>
      </c>
      <c r="D18" s="111">
        <f t="shared" si="4"/>
        <v>16</v>
      </c>
      <c r="E18" s="82"/>
      <c r="F18" s="87"/>
      <c r="G18" s="89"/>
      <c r="H18" s="89"/>
      <c r="I18" s="89"/>
      <c r="J18" s="89"/>
      <c r="K18" s="89"/>
      <c r="L18" s="89"/>
      <c r="M18" s="89"/>
      <c r="N18" s="93"/>
      <c r="O18" s="99" t="str">
        <f t="shared" si="0"/>
        <v/>
      </c>
      <c r="P18" s="100">
        <f t="shared" si="1"/>
        <v>0</v>
      </c>
      <c r="Q18" s="101" t="str">
        <f t="shared" si="2"/>
        <v/>
      </c>
      <c r="R18" s="147" t="str">
        <f t="shared" si="3"/>
        <v/>
      </c>
      <c r="AB18" s="145"/>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47" t="str">
        <f t="shared" si="3"/>
        <v/>
      </c>
      <c r="AB19" s="145"/>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47" t="str">
        <f t="shared" si="3"/>
        <v/>
      </c>
      <c r="AB20" s="145"/>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47" t="str">
        <f t="shared" si="3"/>
        <v/>
      </c>
      <c r="AB21" s="145"/>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47" t="str">
        <f t="shared" si="3"/>
        <v/>
      </c>
      <c r="AB22" s="145"/>
      <c r="AC22" s="80"/>
      <c r="AD22" s="79"/>
      <c r="AE22" s="77"/>
      <c r="AF22" s="77"/>
    </row>
    <row r="23" spans="1:32" ht="15" customHeight="1" x14ac:dyDescent="0.15">
      <c r="A23" s="242" t="s">
        <v>91</v>
      </c>
      <c r="B23" s="243"/>
      <c r="C23" s="248">
        <v>32</v>
      </c>
      <c r="D23" s="111">
        <f t="shared" si="4"/>
        <v>21</v>
      </c>
      <c r="E23" s="82"/>
      <c r="F23" s="87"/>
      <c r="G23" s="89"/>
      <c r="H23" s="89"/>
      <c r="I23" s="89"/>
      <c r="J23" s="89"/>
      <c r="K23" s="89"/>
      <c r="L23" s="89"/>
      <c r="M23" s="89"/>
      <c r="N23" s="93"/>
      <c r="O23" s="99" t="str">
        <f t="shared" si="0"/>
        <v/>
      </c>
      <c r="P23" s="100">
        <f t="shared" si="1"/>
        <v>0</v>
      </c>
      <c r="Q23" s="101" t="str">
        <f t="shared" si="2"/>
        <v/>
      </c>
      <c r="R23" s="147" t="str">
        <f t="shared" si="3"/>
        <v/>
      </c>
      <c r="AB23" s="145"/>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47" t="str">
        <f t="shared" si="3"/>
        <v/>
      </c>
      <c r="AB24" s="145"/>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47" t="str">
        <f t="shared" si="3"/>
        <v/>
      </c>
      <c r="AB25" s="145"/>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47" t="str">
        <f t="shared" si="3"/>
        <v/>
      </c>
      <c r="AB26" s="145"/>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47" t="str">
        <f t="shared" si="3"/>
        <v/>
      </c>
      <c r="AB27" s="145"/>
      <c r="AC27" s="80"/>
      <c r="AD27" s="79"/>
      <c r="AE27" s="77"/>
      <c r="AF27" s="77"/>
    </row>
    <row r="28" spans="1:32" ht="15" customHeight="1" x14ac:dyDescent="0.15">
      <c r="A28" s="242" t="s">
        <v>93</v>
      </c>
      <c r="B28" s="243"/>
      <c r="C28" s="248">
        <v>96</v>
      </c>
      <c r="D28" s="111">
        <f t="shared" si="4"/>
        <v>26</v>
      </c>
      <c r="E28" s="82"/>
      <c r="F28" s="87"/>
      <c r="G28" s="89"/>
      <c r="H28" s="89"/>
      <c r="I28" s="89"/>
      <c r="J28" s="89"/>
      <c r="K28" s="89"/>
      <c r="L28" s="89"/>
      <c r="M28" s="89"/>
      <c r="N28" s="93"/>
      <c r="O28" s="99" t="str">
        <f t="shared" si="0"/>
        <v/>
      </c>
      <c r="P28" s="100">
        <f t="shared" si="1"/>
        <v>0</v>
      </c>
      <c r="Q28" s="101" t="str">
        <f t="shared" si="2"/>
        <v/>
      </c>
      <c r="R28" s="147" t="str">
        <f t="shared" si="3"/>
        <v/>
      </c>
      <c r="AB28" s="145"/>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47" t="str">
        <f t="shared" si="3"/>
        <v/>
      </c>
      <c r="AB29" s="145"/>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47" t="str">
        <f t="shared" si="3"/>
        <v/>
      </c>
      <c r="AB30" s="145"/>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47"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47" t="str">
        <f t="shared" si="3"/>
        <v/>
      </c>
      <c r="AB32" s="145"/>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47" t="str">
        <f t="shared" si="3"/>
        <v/>
      </c>
      <c r="AB33" s="145"/>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47" t="str">
        <f t="shared" si="3"/>
        <v/>
      </c>
      <c r="AB34" s="145"/>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47" t="str">
        <f t="shared" si="3"/>
        <v/>
      </c>
      <c r="AB35" s="145"/>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47"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47"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47"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47"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47"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47" t="str">
        <f t="shared" si="3"/>
        <v/>
      </c>
    </row>
    <row r="42" spans="1:32" ht="15" customHeight="1" x14ac:dyDescent="0.15">
      <c r="A42" s="246"/>
      <c r="B42" s="247"/>
      <c r="C42" s="250"/>
      <c r="D42" s="112">
        <f t="shared" si="4"/>
        <v>40</v>
      </c>
      <c r="E42" s="146"/>
      <c r="F42" s="88"/>
      <c r="G42" s="91"/>
      <c r="H42" s="91"/>
      <c r="I42" s="91"/>
      <c r="J42" s="91"/>
      <c r="K42" s="91"/>
      <c r="L42" s="91"/>
      <c r="M42" s="91"/>
      <c r="N42" s="95"/>
      <c r="O42" s="103" t="str">
        <f t="shared" si="0"/>
        <v/>
      </c>
      <c r="P42" s="104">
        <f t="shared" si="1"/>
        <v>0</v>
      </c>
      <c r="Q42" s="101" t="str">
        <f t="shared" si="2"/>
        <v/>
      </c>
      <c r="R42" s="147" t="str">
        <f t="shared" si="3"/>
        <v/>
      </c>
    </row>
    <row r="43" spans="1:32" ht="15" customHeight="1" x14ac:dyDescent="0.15">
      <c r="A43" s="271" t="s">
        <v>21</v>
      </c>
      <c r="B43" s="278"/>
      <c r="C43" s="248" t="s">
        <v>105</v>
      </c>
      <c r="D43" s="112">
        <f t="shared" si="4"/>
        <v>41</v>
      </c>
      <c r="E43" s="146"/>
      <c r="F43" s="88"/>
      <c r="G43" s="91"/>
      <c r="H43" s="91"/>
      <c r="I43" s="91"/>
      <c r="J43" s="91"/>
      <c r="K43" s="91"/>
      <c r="L43" s="91"/>
      <c r="M43" s="91"/>
      <c r="N43" s="95"/>
      <c r="O43" s="103" t="str">
        <f t="shared" si="0"/>
        <v/>
      </c>
      <c r="P43" s="104">
        <f t="shared" si="1"/>
        <v>0</v>
      </c>
      <c r="Q43" s="101" t="str">
        <f t="shared" si="2"/>
        <v/>
      </c>
      <c r="R43" s="147" t="str">
        <f t="shared" si="3"/>
        <v/>
      </c>
    </row>
    <row r="44" spans="1:32" ht="15" customHeight="1" x14ac:dyDescent="0.15">
      <c r="A44" s="238"/>
      <c r="B44" s="279"/>
      <c r="C44" s="249"/>
      <c r="D44" s="112">
        <f t="shared" si="4"/>
        <v>42</v>
      </c>
      <c r="E44" s="146"/>
      <c r="F44" s="88"/>
      <c r="G44" s="91"/>
      <c r="H44" s="91"/>
      <c r="I44" s="91"/>
      <c r="J44" s="91"/>
      <c r="K44" s="91"/>
      <c r="L44" s="91"/>
      <c r="M44" s="91"/>
      <c r="N44" s="95"/>
      <c r="O44" s="103" t="str">
        <f t="shared" si="0"/>
        <v/>
      </c>
      <c r="P44" s="104">
        <f t="shared" si="1"/>
        <v>0</v>
      </c>
      <c r="Q44" s="101" t="str">
        <f t="shared" si="2"/>
        <v/>
      </c>
      <c r="R44" s="147" t="str">
        <f t="shared" si="3"/>
        <v/>
      </c>
    </row>
    <row r="45" spans="1:32" ht="15" customHeight="1" x14ac:dyDescent="0.15">
      <c r="A45" s="238"/>
      <c r="B45" s="279"/>
      <c r="C45" s="249"/>
      <c r="D45" s="112">
        <f t="shared" si="4"/>
        <v>43</v>
      </c>
      <c r="E45" s="146"/>
      <c r="F45" s="88"/>
      <c r="G45" s="91"/>
      <c r="H45" s="91"/>
      <c r="I45" s="91"/>
      <c r="J45" s="91"/>
      <c r="K45" s="91"/>
      <c r="L45" s="91"/>
      <c r="M45" s="91"/>
      <c r="N45" s="95"/>
      <c r="O45" s="103" t="str">
        <f t="shared" si="0"/>
        <v/>
      </c>
      <c r="P45" s="104">
        <f t="shared" si="1"/>
        <v>0</v>
      </c>
      <c r="Q45" s="101" t="str">
        <f t="shared" si="2"/>
        <v/>
      </c>
      <c r="R45" s="147" t="str">
        <f t="shared" si="3"/>
        <v/>
      </c>
    </row>
    <row r="46" spans="1:32" ht="15" customHeight="1" x14ac:dyDescent="0.15">
      <c r="A46" s="238"/>
      <c r="B46" s="279"/>
      <c r="C46" s="249"/>
      <c r="D46" s="112">
        <f t="shared" si="4"/>
        <v>44</v>
      </c>
      <c r="E46" s="146"/>
      <c r="F46" s="88"/>
      <c r="G46" s="91"/>
      <c r="H46" s="91"/>
      <c r="I46" s="91"/>
      <c r="J46" s="91"/>
      <c r="K46" s="91"/>
      <c r="L46" s="91"/>
      <c r="M46" s="91"/>
      <c r="N46" s="95"/>
      <c r="O46" s="103" t="str">
        <f t="shared" si="0"/>
        <v/>
      </c>
      <c r="P46" s="104">
        <f t="shared" si="1"/>
        <v>0</v>
      </c>
      <c r="Q46" s="101" t="str">
        <f t="shared" si="2"/>
        <v/>
      </c>
      <c r="R46" s="147" t="str">
        <f t="shared" si="3"/>
        <v/>
      </c>
    </row>
    <row r="47" spans="1:32" ht="15" customHeight="1" x14ac:dyDescent="0.15">
      <c r="A47" s="238"/>
      <c r="B47" s="279"/>
      <c r="C47" s="249"/>
      <c r="D47" s="112">
        <f t="shared" si="4"/>
        <v>45</v>
      </c>
      <c r="E47" s="146"/>
      <c r="F47" s="88"/>
      <c r="G47" s="91"/>
      <c r="H47" s="91"/>
      <c r="I47" s="91"/>
      <c r="J47" s="91"/>
      <c r="K47" s="91"/>
      <c r="L47" s="91"/>
      <c r="M47" s="91"/>
      <c r="N47" s="95"/>
      <c r="O47" s="103" t="str">
        <f t="shared" si="0"/>
        <v/>
      </c>
      <c r="P47" s="104">
        <f t="shared" si="1"/>
        <v>0</v>
      </c>
      <c r="Q47" s="101" t="str">
        <f t="shared" si="2"/>
        <v/>
      </c>
      <c r="R47" s="147" t="str">
        <f t="shared" si="3"/>
        <v/>
      </c>
    </row>
    <row r="48" spans="1:32" ht="15" customHeight="1" x14ac:dyDescent="0.15">
      <c r="A48" s="238"/>
      <c r="B48" s="279"/>
      <c r="C48" s="249"/>
      <c r="D48" s="112">
        <f t="shared" si="4"/>
        <v>46</v>
      </c>
      <c r="E48" s="146"/>
      <c r="F48" s="88"/>
      <c r="G48" s="91"/>
      <c r="H48" s="91"/>
      <c r="I48" s="91"/>
      <c r="J48" s="91"/>
      <c r="K48" s="91"/>
      <c r="L48" s="91"/>
      <c r="M48" s="91"/>
      <c r="N48" s="95"/>
      <c r="O48" s="103" t="str">
        <f t="shared" si="0"/>
        <v/>
      </c>
      <c r="P48" s="104">
        <f t="shared" si="1"/>
        <v>0</v>
      </c>
      <c r="Q48" s="101" t="str">
        <f t="shared" si="2"/>
        <v/>
      </c>
      <c r="R48" s="147" t="str">
        <f t="shared" si="3"/>
        <v/>
      </c>
    </row>
    <row r="49" spans="1:18" ht="15" customHeight="1" x14ac:dyDescent="0.15">
      <c r="A49" s="240"/>
      <c r="B49" s="280"/>
      <c r="C49" s="250"/>
      <c r="D49" s="112">
        <f t="shared" si="4"/>
        <v>47</v>
      </c>
      <c r="E49" s="146"/>
      <c r="F49" s="88"/>
      <c r="G49" s="91"/>
      <c r="H49" s="91"/>
      <c r="I49" s="91"/>
      <c r="J49" s="91"/>
      <c r="K49" s="91"/>
      <c r="L49" s="91"/>
      <c r="M49" s="91"/>
      <c r="N49" s="95"/>
      <c r="O49" s="103" t="str">
        <f t="shared" si="0"/>
        <v/>
      </c>
      <c r="P49" s="104">
        <f t="shared" si="1"/>
        <v>0</v>
      </c>
      <c r="Q49" s="101" t="str">
        <f t="shared" si="2"/>
        <v/>
      </c>
      <c r="R49" s="147" t="str">
        <f t="shared" si="3"/>
        <v/>
      </c>
    </row>
    <row r="50" spans="1:18" ht="15" customHeight="1" x14ac:dyDescent="0.15">
      <c r="A50" s="281" t="s">
        <v>24</v>
      </c>
      <c r="B50" s="282"/>
      <c r="C50" s="249" t="s">
        <v>105</v>
      </c>
      <c r="D50" s="112">
        <f t="shared" si="4"/>
        <v>48</v>
      </c>
      <c r="E50" s="146"/>
      <c r="F50" s="88"/>
      <c r="G50" s="91"/>
      <c r="H50" s="91"/>
      <c r="I50" s="91"/>
      <c r="J50" s="91"/>
      <c r="K50" s="91"/>
      <c r="L50" s="91"/>
      <c r="M50" s="91"/>
      <c r="N50" s="95"/>
      <c r="O50" s="103" t="str">
        <f t="shared" si="0"/>
        <v/>
      </c>
      <c r="P50" s="104">
        <f t="shared" si="1"/>
        <v>0</v>
      </c>
      <c r="Q50" s="101" t="str">
        <f t="shared" si="2"/>
        <v/>
      </c>
      <c r="R50" s="147" t="str">
        <f t="shared" si="3"/>
        <v/>
      </c>
    </row>
    <row r="51" spans="1:18" ht="15" customHeight="1" x14ac:dyDescent="0.15">
      <c r="A51" s="281"/>
      <c r="B51" s="282"/>
      <c r="C51" s="249"/>
      <c r="D51" s="112">
        <f t="shared" si="4"/>
        <v>49</v>
      </c>
      <c r="E51" s="146"/>
      <c r="F51" s="53"/>
      <c r="G51" s="92"/>
      <c r="H51" s="92"/>
      <c r="I51" s="92"/>
      <c r="J51" s="92"/>
      <c r="K51" s="92"/>
      <c r="L51" s="92"/>
      <c r="M51" s="92"/>
      <c r="N51" s="96"/>
      <c r="O51" s="103" t="str">
        <f t="shared" si="0"/>
        <v/>
      </c>
      <c r="P51" s="104">
        <f t="shared" si="1"/>
        <v>0</v>
      </c>
      <c r="Q51" s="101" t="str">
        <f t="shared" si="2"/>
        <v/>
      </c>
      <c r="R51" s="147" t="str">
        <f t="shared" si="3"/>
        <v/>
      </c>
    </row>
    <row r="52" spans="1:18" ht="15" customHeight="1" thickBot="1" x14ac:dyDescent="0.2">
      <c r="A52" s="281"/>
      <c r="B52" s="282"/>
      <c r="C52" s="249"/>
      <c r="D52" s="112">
        <f t="shared" si="4"/>
        <v>50</v>
      </c>
      <c r="E52" s="146"/>
      <c r="F52" s="53"/>
      <c r="G52" s="92"/>
      <c r="H52" s="92"/>
      <c r="I52" s="92"/>
      <c r="J52" s="92"/>
      <c r="K52" s="92"/>
      <c r="L52" s="92"/>
      <c r="M52" s="92"/>
      <c r="N52" s="96"/>
      <c r="O52" s="105" t="str">
        <f t="shared" si="0"/>
        <v/>
      </c>
      <c r="P52" s="106">
        <f t="shared" si="1"/>
        <v>0</v>
      </c>
      <c r="Q52" s="101" t="str">
        <f t="shared" si="2"/>
        <v/>
      </c>
      <c r="R52" s="147" t="str">
        <f t="shared" si="3"/>
        <v/>
      </c>
    </row>
    <row r="53" spans="1:18" ht="12" customHeight="1" x14ac:dyDescent="0.15">
      <c r="A53" s="281"/>
      <c r="B53" s="282"/>
      <c r="C53" s="249"/>
      <c r="D53" s="276" t="s">
        <v>25</v>
      </c>
      <c r="E53" s="276"/>
      <c r="F53" s="276"/>
      <c r="G53" s="150"/>
      <c r="H53" s="150"/>
      <c r="I53" s="150"/>
      <c r="J53" s="150"/>
      <c r="K53" s="150"/>
      <c r="L53" s="150"/>
      <c r="M53" s="150"/>
      <c r="N53" s="150"/>
      <c r="O53" s="114"/>
      <c r="P53" s="114"/>
      <c r="Q53" s="150"/>
      <c r="R53" s="115"/>
    </row>
    <row r="54" spans="1:18" ht="12" customHeight="1" x14ac:dyDescent="0.15">
      <c r="A54" s="281"/>
      <c r="B54" s="282"/>
      <c r="C54" s="249"/>
      <c r="D54" s="277"/>
      <c r="E54" s="277"/>
      <c r="F54" s="277"/>
      <c r="G54" s="151"/>
      <c r="H54" s="151"/>
      <c r="I54" s="151"/>
      <c r="J54" s="151"/>
      <c r="K54" s="151"/>
      <c r="L54" s="151"/>
      <c r="M54" s="151"/>
      <c r="N54" s="151"/>
      <c r="O54" s="151"/>
      <c r="P54" s="151"/>
      <c r="Q54" s="151"/>
      <c r="R54" s="117"/>
    </row>
    <row r="55" spans="1:18" ht="12" customHeight="1" x14ac:dyDescent="0.15">
      <c r="A55" s="281"/>
      <c r="B55" s="282"/>
      <c r="C55" s="249"/>
      <c r="D55" s="274" t="s">
        <v>26</v>
      </c>
      <c r="E55" s="274"/>
      <c r="F55" s="274"/>
      <c r="G55" s="148"/>
      <c r="H55" s="148"/>
      <c r="I55" s="148"/>
      <c r="J55" s="148"/>
      <c r="K55" s="148"/>
      <c r="L55" s="148"/>
      <c r="M55" s="148"/>
      <c r="N55" s="148"/>
      <c r="O55" s="114"/>
      <c r="P55" s="114"/>
      <c r="Q55" s="148"/>
      <c r="R55" s="119"/>
    </row>
    <row r="56" spans="1:18" ht="12" customHeight="1" thickBot="1" x14ac:dyDescent="0.2">
      <c r="A56" s="283"/>
      <c r="B56" s="284"/>
      <c r="C56" s="285"/>
      <c r="D56" s="275"/>
      <c r="E56" s="275"/>
      <c r="F56" s="275"/>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tabSelected="1" view="pageBreakPreview" topLeftCell="C1" zoomScaleNormal="100" zoomScaleSheetLayoutView="100" workbookViewId="0">
      <selection activeCell="G4" sqref="G3:G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67</v>
      </c>
      <c r="H3" s="139">
        <v>0</v>
      </c>
      <c r="I3" s="89">
        <v>80</v>
      </c>
      <c r="J3" s="89">
        <v>45</v>
      </c>
      <c r="K3" s="89"/>
      <c r="L3" s="89"/>
      <c r="M3" s="89"/>
      <c r="N3" s="93"/>
      <c r="O3" s="99">
        <f t="shared" ref="O3:O52" si="0">IF(SUM(G3,I3,,M3)=0,"",AVERAGE(G3,I3,K3,M3))</f>
        <v>73.5</v>
      </c>
      <c r="P3" s="100">
        <f t="shared" ref="P3:P52" si="1">SUM(H3,J3,L3,N3)</f>
        <v>45</v>
      </c>
      <c r="Q3" s="101" t="str">
        <f t="shared" ref="Q3:Q52" si="2">IF(O3="","",IF(O3&gt;=85,"5",IF(O3&gt;=70,"4",IF(O3&gt;=45,"3",IF(O3&gt;=44,"2","1")))))</f>
        <v>4</v>
      </c>
      <c r="R3" s="147" t="str">
        <f t="shared" ref="R3:R52" si="3">IF(O3&lt;44,"再試験",IF(P3&gt;$D$63,"補習",""))</f>
        <v>補習</v>
      </c>
      <c r="T3" s="30" t="s">
        <v>96</v>
      </c>
      <c r="AB3" s="145"/>
      <c r="AC3" s="80"/>
      <c r="AD3" s="79"/>
      <c r="AE3" s="77"/>
      <c r="AF3" s="77"/>
    </row>
    <row r="4" spans="1:32" ht="15" customHeight="1" x14ac:dyDescent="0.15">
      <c r="A4" s="238"/>
      <c r="B4" s="239"/>
      <c r="C4" s="236"/>
      <c r="D4" s="111">
        <f t="shared" ref="D4:D52" si="4">D3+1</f>
        <v>2</v>
      </c>
      <c r="E4" s="82">
        <v>19023</v>
      </c>
      <c r="F4" s="87" t="s">
        <v>117</v>
      </c>
      <c r="G4" s="89">
        <v>65</v>
      </c>
      <c r="H4" s="80">
        <v>6</v>
      </c>
      <c r="I4" s="89">
        <v>55</v>
      </c>
      <c r="J4" s="89">
        <v>46</v>
      </c>
      <c r="K4" s="89"/>
      <c r="L4" s="89"/>
      <c r="M4" s="89"/>
      <c r="N4" s="93"/>
      <c r="O4" s="99">
        <f t="shared" si="0"/>
        <v>60</v>
      </c>
      <c r="P4" s="100">
        <f t="shared" si="1"/>
        <v>52</v>
      </c>
      <c r="Q4" s="101" t="str">
        <f t="shared" si="2"/>
        <v>3</v>
      </c>
      <c r="R4" s="147" t="str">
        <f t="shared" si="3"/>
        <v>補習</v>
      </c>
      <c r="T4" s="30" t="s">
        <v>64</v>
      </c>
      <c r="AB4" s="145"/>
      <c r="AC4" s="80"/>
      <c r="AD4" s="79"/>
      <c r="AE4" s="77"/>
      <c r="AF4" s="77"/>
    </row>
    <row r="5" spans="1:32" ht="15" customHeight="1" x14ac:dyDescent="0.15">
      <c r="A5" s="238"/>
      <c r="B5" s="239"/>
      <c r="C5" s="236"/>
      <c r="D5" s="111">
        <f t="shared" si="4"/>
        <v>3</v>
      </c>
      <c r="E5" s="82">
        <v>19028</v>
      </c>
      <c r="F5" s="87" t="s">
        <v>109</v>
      </c>
      <c r="G5" s="89">
        <v>63</v>
      </c>
      <c r="H5" s="80"/>
      <c r="I5" s="89"/>
      <c r="J5" s="89">
        <v>47</v>
      </c>
      <c r="K5" s="89"/>
      <c r="L5" s="89"/>
      <c r="M5" s="89"/>
      <c r="N5" s="93"/>
      <c r="O5" s="99">
        <f t="shared" si="0"/>
        <v>63</v>
      </c>
      <c r="P5" s="100">
        <f t="shared" si="1"/>
        <v>47</v>
      </c>
      <c r="Q5" s="101" t="str">
        <f t="shared" si="2"/>
        <v>3</v>
      </c>
      <c r="R5" s="147" t="str">
        <f t="shared" si="3"/>
        <v>補習</v>
      </c>
      <c r="T5" s="30" t="s">
        <v>65</v>
      </c>
      <c r="AB5" s="145"/>
      <c r="AC5" s="80"/>
      <c r="AD5" s="79"/>
      <c r="AE5" s="77"/>
      <c r="AF5" s="77"/>
    </row>
    <row r="6" spans="1:32" ht="15" customHeight="1" x14ac:dyDescent="0.15">
      <c r="A6" s="238"/>
      <c r="B6" s="239"/>
      <c r="C6" s="236"/>
      <c r="D6" s="111">
        <f t="shared" si="4"/>
        <v>4</v>
      </c>
      <c r="E6" s="82">
        <v>19038</v>
      </c>
      <c r="F6" s="87" t="s">
        <v>110</v>
      </c>
      <c r="G6" s="89">
        <v>61</v>
      </c>
      <c r="H6" s="80"/>
      <c r="I6" s="89"/>
      <c r="J6" s="89">
        <v>48</v>
      </c>
      <c r="K6" s="89"/>
      <c r="L6" s="89"/>
      <c r="M6" s="89"/>
      <c r="N6" s="93"/>
      <c r="O6" s="99">
        <f t="shared" si="0"/>
        <v>61</v>
      </c>
      <c r="P6" s="100">
        <f t="shared" si="1"/>
        <v>48</v>
      </c>
      <c r="Q6" s="101" t="str">
        <f t="shared" si="2"/>
        <v>3</v>
      </c>
      <c r="R6" s="147" t="str">
        <f t="shared" si="3"/>
        <v>補習</v>
      </c>
      <c r="T6" s="30" t="s">
        <v>66</v>
      </c>
      <c r="AB6" s="145"/>
      <c r="AC6" s="80"/>
      <c r="AD6" s="79"/>
      <c r="AE6" s="77"/>
      <c r="AF6" s="77"/>
    </row>
    <row r="7" spans="1:32" ht="15" customHeight="1" x14ac:dyDescent="0.15">
      <c r="A7" s="240"/>
      <c r="B7" s="241"/>
      <c r="C7" s="237"/>
      <c r="D7" s="111">
        <f t="shared" si="4"/>
        <v>5</v>
      </c>
      <c r="E7" s="82">
        <v>19041</v>
      </c>
      <c r="F7" s="87" t="s">
        <v>111</v>
      </c>
      <c r="G7" s="89">
        <v>59</v>
      </c>
      <c r="H7" s="80"/>
      <c r="I7" s="89"/>
      <c r="J7" s="89">
        <v>49</v>
      </c>
      <c r="K7" s="89"/>
      <c r="L7" s="89"/>
      <c r="M7" s="89"/>
      <c r="N7" s="93"/>
      <c r="O7" s="99">
        <f t="shared" si="0"/>
        <v>59</v>
      </c>
      <c r="P7" s="100">
        <f t="shared" si="1"/>
        <v>49</v>
      </c>
      <c r="Q7" s="101" t="str">
        <f t="shared" si="2"/>
        <v>3</v>
      </c>
      <c r="R7" s="147" t="str">
        <f t="shared" si="3"/>
        <v>補習</v>
      </c>
      <c r="U7" s="30" t="s">
        <v>70</v>
      </c>
      <c r="AB7" s="145"/>
      <c r="AC7" s="80"/>
      <c r="AD7" s="79"/>
      <c r="AE7" s="77"/>
      <c r="AF7" s="77"/>
    </row>
    <row r="8" spans="1:32" ht="15" customHeight="1" x14ac:dyDescent="0.15">
      <c r="A8" s="238" t="s">
        <v>92</v>
      </c>
      <c r="B8" s="239"/>
      <c r="C8" s="235" t="str">
        <f ca="1">RIGHT(CELL("filename",A1),LEN(CELL("filename",A1))-FIND("]",CELL("filename",A1)))</f>
        <v>RPA演習</v>
      </c>
      <c r="D8" s="111">
        <f t="shared" si="4"/>
        <v>6</v>
      </c>
      <c r="E8" s="82">
        <v>19052</v>
      </c>
      <c r="F8" s="87" t="s">
        <v>112</v>
      </c>
      <c r="G8" s="89">
        <v>57</v>
      </c>
      <c r="H8" s="80"/>
      <c r="I8" s="89"/>
      <c r="J8" s="89">
        <v>50</v>
      </c>
      <c r="K8" s="89"/>
      <c r="L8" s="89"/>
      <c r="M8" s="89"/>
      <c r="N8" s="93"/>
      <c r="O8" s="99">
        <f t="shared" si="0"/>
        <v>57</v>
      </c>
      <c r="P8" s="100">
        <f t="shared" si="1"/>
        <v>50</v>
      </c>
      <c r="Q8" s="101" t="str">
        <f t="shared" si="2"/>
        <v>3</v>
      </c>
      <c r="R8" s="147" t="str">
        <f t="shared" si="3"/>
        <v>補習</v>
      </c>
      <c r="T8" s="30"/>
      <c r="U8" s="30" t="s">
        <v>72</v>
      </c>
    </row>
    <row r="9" spans="1:32" ht="15" customHeight="1" x14ac:dyDescent="0.15">
      <c r="A9" s="238"/>
      <c r="B9" s="239"/>
      <c r="C9" s="236"/>
      <c r="D9" s="111">
        <f t="shared" si="4"/>
        <v>7</v>
      </c>
      <c r="E9" s="82">
        <v>19059</v>
      </c>
      <c r="F9" s="87" t="s">
        <v>113</v>
      </c>
      <c r="G9" s="89">
        <v>55</v>
      </c>
      <c r="H9" s="80">
        <v>0</v>
      </c>
      <c r="I9" s="89">
        <v>50</v>
      </c>
      <c r="J9" s="89">
        <v>51</v>
      </c>
      <c r="K9" s="89"/>
      <c r="L9" s="89"/>
      <c r="M9" s="89"/>
      <c r="N9" s="93"/>
      <c r="O9" s="99">
        <f t="shared" si="0"/>
        <v>52.5</v>
      </c>
      <c r="P9" s="100">
        <f t="shared" si="1"/>
        <v>51</v>
      </c>
      <c r="Q9" s="101" t="str">
        <f t="shared" si="2"/>
        <v>3</v>
      </c>
      <c r="R9" s="147" t="str">
        <f t="shared" si="3"/>
        <v>補習</v>
      </c>
      <c r="T9" s="30"/>
      <c r="AB9" s="145"/>
      <c r="AC9" s="80"/>
      <c r="AD9" s="79"/>
      <c r="AE9" s="77"/>
      <c r="AF9" s="77"/>
    </row>
    <row r="10" spans="1:32" ht="15" customHeight="1" x14ac:dyDescent="0.15">
      <c r="A10" s="238"/>
      <c r="B10" s="239"/>
      <c r="C10" s="236"/>
      <c r="D10" s="111">
        <f t="shared" si="4"/>
        <v>8</v>
      </c>
      <c r="E10" s="82">
        <v>19069</v>
      </c>
      <c r="F10" s="87" t="s">
        <v>114</v>
      </c>
      <c r="G10" s="89">
        <v>53</v>
      </c>
      <c r="H10" s="80"/>
      <c r="I10" s="89"/>
      <c r="J10" s="89">
        <v>52</v>
      </c>
      <c r="K10" s="89"/>
      <c r="L10" s="89"/>
      <c r="M10" s="89"/>
      <c r="N10" s="93"/>
      <c r="O10" s="99">
        <f t="shared" si="0"/>
        <v>53</v>
      </c>
      <c r="P10" s="100">
        <f t="shared" si="1"/>
        <v>52</v>
      </c>
      <c r="Q10" s="101" t="str">
        <f t="shared" si="2"/>
        <v>3</v>
      </c>
      <c r="R10" s="147" t="str">
        <f t="shared" si="3"/>
        <v>補習</v>
      </c>
      <c r="T10" s="30"/>
      <c r="U10" s="30" t="s">
        <v>71</v>
      </c>
      <c r="AB10" s="145"/>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47" t="str">
        <f t="shared" si="3"/>
        <v/>
      </c>
      <c r="AB11" s="145"/>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47" t="str">
        <f t="shared" si="3"/>
        <v/>
      </c>
      <c r="T12" s="30"/>
      <c r="AB12" s="145"/>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47" t="str">
        <f t="shared" si="3"/>
        <v/>
      </c>
      <c r="U13" s="30"/>
      <c r="AB13" s="145"/>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47" t="str">
        <f t="shared" si="3"/>
        <v/>
      </c>
      <c r="AB14" s="145"/>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47" t="str">
        <f t="shared" si="3"/>
        <v/>
      </c>
      <c r="AB15" s="145"/>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47" t="str">
        <f t="shared" si="3"/>
        <v/>
      </c>
      <c r="AB16" s="145"/>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47" t="str">
        <f t="shared" si="3"/>
        <v/>
      </c>
      <c r="AB17" s="145"/>
      <c r="AC17" s="80"/>
      <c r="AD17" s="79"/>
      <c r="AE17" s="77"/>
      <c r="AF17" s="77"/>
    </row>
    <row r="18" spans="1:32" ht="15" customHeight="1" x14ac:dyDescent="0.15">
      <c r="A18" s="242" t="s">
        <v>20</v>
      </c>
      <c r="B18" s="243"/>
      <c r="C18" s="251">
        <f>SUM(C23:C42)</f>
        <v>128</v>
      </c>
      <c r="D18" s="111">
        <f t="shared" si="4"/>
        <v>16</v>
      </c>
      <c r="E18" s="82"/>
      <c r="F18" s="87"/>
      <c r="G18" s="89"/>
      <c r="H18" s="89"/>
      <c r="I18" s="89"/>
      <c r="J18" s="89"/>
      <c r="K18" s="89"/>
      <c r="L18" s="89"/>
      <c r="M18" s="89"/>
      <c r="N18" s="93"/>
      <c r="O18" s="99" t="str">
        <f t="shared" si="0"/>
        <v/>
      </c>
      <c r="P18" s="100">
        <f t="shared" si="1"/>
        <v>0</v>
      </c>
      <c r="Q18" s="101" t="str">
        <f t="shared" si="2"/>
        <v/>
      </c>
      <c r="R18" s="147" t="str">
        <f t="shared" si="3"/>
        <v/>
      </c>
      <c r="AB18" s="145"/>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47" t="str">
        <f t="shared" si="3"/>
        <v/>
      </c>
      <c r="AB19" s="145"/>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47" t="str">
        <f t="shared" si="3"/>
        <v/>
      </c>
      <c r="AB20" s="145"/>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47" t="str">
        <f t="shared" si="3"/>
        <v/>
      </c>
      <c r="AB21" s="145"/>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47" t="str">
        <f t="shared" si="3"/>
        <v/>
      </c>
      <c r="AB22" s="145"/>
      <c r="AC22" s="80"/>
      <c r="AD22" s="79"/>
      <c r="AE22" s="77"/>
      <c r="AF22" s="77"/>
    </row>
    <row r="23" spans="1:32" ht="15" customHeight="1" x14ac:dyDescent="0.15">
      <c r="A23" s="242" t="s">
        <v>91</v>
      </c>
      <c r="B23" s="243"/>
      <c r="C23" s="248">
        <v>32</v>
      </c>
      <c r="D23" s="111">
        <f t="shared" si="4"/>
        <v>21</v>
      </c>
      <c r="E23" s="82"/>
      <c r="F23" s="87"/>
      <c r="G23" s="89"/>
      <c r="H23" s="89"/>
      <c r="I23" s="89"/>
      <c r="J23" s="89"/>
      <c r="K23" s="89"/>
      <c r="L23" s="89"/>
      <c r="M23" s="89"/>
      <c r="N23" s="93"/>
      <c r="O23" s="99" t="str">
        <f t="shared" si="0"/>
        <v/>
      </c>
      <c r="P23" s="100">
        <f t="shared" si="1"/>
        <v>0</v>
      </c>
      <c r="Q23" s="101" t="str">
        <f t="shared" si="2"/>
        <v/>
      </c>
      <c r="R23" s="147" t="str">
        <f t="shared" si="3"/>
        <v/>
      </c>
      <c r="AB23" s="145"/>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47" t="str">
        <f t="shared" si="3"/>
        <v/>
      </c>
      <c r="AB24" s="145"/>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47" t="str">
        <f t="shared" si="3"/>
        <v/>
      </c>
      <c r="AB25" s="145"/>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47" t="str">
        <f t="shared" si="3"/>
        <v/>
      </c>
      <c r="AB26" s="145"/>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47" t="str">
        <f t="shared" si="3"/>
        <v/>
      </c>
      <c r="AB27" s="145"/>
      <c r="AC27" s="80"/>
      <c r="AD27" s="79"/>
      <c r="AE27" s="77"/>
      <c r="AF27" s="77"/>
    </row>
    <row r="28" spans="1:32" ht="15" customHeight="1" x14ac:dyDescent="0.15">
      <c r="A28" s="242" t="s">
        <v>93</v>
      </c>
      <c r="B28" s="243"/>
      <c r="C28" s="248">
        <v>96</v>
      </c>
      <c r="D28" s="111">
        <f t="shared" si="4"/>
        <v>26</v>
      </c>
      <c r="E28" s="82"/>
      <c r="F28" s="87"/>
      <c r="G28" s="89"/>
      <c r="H28" s="89"/>
      <c r="I28" s="89"/>
      <c r="J28" s="89"/>
      <c r="K28" s="89"/>
      <c r="L28" s="89"/>
      <c r="M28" s="89"/>
      <c r="N28" s="93"/>
      <c r="O28" s="99" t="str">
        <f t="shared" si="0"/>
        <v/>
      </c>
      <c r="P28" s="100">
        <f t="shared" si="1"/>
        <v>0</v>
      </c>
      <c r="Q28" s="101" t="str">
        <f t="shared" si="2"/>
        <v/>
      </c>
      <c r="R28" s="147" t="str">
        <f t="shared" si="3"/>
        <v/>
      </c>
      <c r="AB28" s="145"/>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47" t="str">
        <f t="shared" si="3"/>
        <v/>
      </c>
      <c r="AB29" s="145"/>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47" t="str">
        <f t="shared" si="3"/>
        <v/>
      </c>
      <c r="AB30" s="145"/>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47"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47" t="str">
        <f t="shared" si="3"/>
        <v/>
      </c>
      <c r="AB32" s="145"/>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47" t="str">
        <f t="shared" si="3"/>
        <v/>
      </c>
      <c r="AB33" s="145"/>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47" t="str">
        <f t="shared" si="3"/>
        <v/>
      </c>
      <c r="AB34" s="145"/>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47" t="str">
        <f t="shared" si="3"/>
        <v/>
      </c>
      <c r="AB35" s="145"/>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47"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47"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47"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47"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47"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47" t="str">
        <f t="shared" si="3"/>
        <v/>
      </c>
    </row>
    <row r="42" spans="1:32" ht="15" customHeight="1" x14ac:dyDescent="0.15">
      <c r="A42" s="246"/>
      <c r="B42" s="247"/>
      <c r="C42" s="250"/>
      <c r="D42" s="112">
        <f t="shared" si="4"/>
        <v>40</v>
      </c>
      <c r="E42" s="146"/>
      <c r="F42" s="88"/>
      <c r="G42" s="91"/>
      <c r="H42" s="91"/>
      <c r="I42" s="91"/>
      <c r="J42" s="91"/>
      <c r="K42" s="91"/>
      <c r="L42" s="91"/>
      <c r="M42" s="91"/>
      <c r="N42" s="95"/>
      <c r="O42" s="103" t="str">
        <f t="shared" si="0"/>
        <v/>
      </c>
      <c r="P42" s="104">
        <f t="shared" si="1"/>
        <v>0</v>
      </c>
      <c r="Q42" s="101" t="str">
        <f t="shared" si="2"/>
        <v/>
      </c>
      <c r="R42" s="147" t="str">
        <f t="shared" si="3"/>
        <v/>
      </c>
    </row>
    <row r="43" spans="1:32" ht="15" customHeight="1" x14ac:dyDescent="0.15">
      <c r="A43" s="271" t="s">
        <v>21</v>
      </c>
      <c r="B43" s="278"/>
      <c r="C43" s="248" t="s">
        <v>105</v>
      </c>
      <c r="D43" s="112">
        <f t="shared" si="4"/>
        <v>41</v>
      </c>
      <c r="E43" s="146"/>
      <c r="F43" s="88"/>
      <c r="G43" s="91"/>
      <c r="H43" s="91"/>
      <c r="I43" s="91"/>
      <c r="J43" s="91"/>
      <c r="K43" s="91"/>
      <c r="L43" s="91"/>
      <c r="M43" s="91"/>
      <c r="N43" s="95"/>
      <c r="O43" s="103" t="str">
        <f t="shared" si="0"/>
        <v/>
      </c>
      <c r="P43" s="104">
        <f t="shared" si="1"/>
        <v>0</v>
      </c>
      <c r="Q43" s="101" t="str">
        <f t="shared" si="2"/>
        <v/>
      </c>
      <c r="R43" s="147" t="str">
        <f t="shared" si="3"/>
        <v/>
      </c>
    </row>
    <row r="44" spans="1:32" ht="15" customHeight="1" x14ac:dyDescent="0.15">
      <c r="A44" s="238"/>
      <c r="B44" s="279"/>
      <c r="C44" s="249"/>
      <c r="D44" s="112">
        <f t="shared" si="4"/>
        <v>42</v>
      </c>
      <c r="E44" s="146"/>
      <c r="F44" s="88"/>
      <c r="G44" s="91"/>
      <c r="H44" s="91"/>
      <c r="I44" s="91"/>
      <c r="J44" s="91"/>
      <c r="K44" s="91"/>
      <c r="L44" s="91"/>
      <c r="M44" s="91"/>
      <c r="N44" s="95"/>
      <c r="O44" s="103" t="str">
        <f t="shared" si="0"/>
        <v/>
      </c>
      <c r="P44" s="104">
        <f t="shared" si="1"/>
        <v>0</v>
      </c>
      <c r="Q44" s="101" t="str">
        <f t="shared" si="2"/>
        <v/>
      </c>
      <c r="R44" s="147" t="str">
        <f t="shared" si="3"/>
        <v/>
      </c>
    </row>
    <row r="45" spans="1:32" ht="15" customHeight="1" x14ac:dyDescent="0.15">
      <c r="A45" s="238"/>
      <c r="B45" s="279"/>
      <c r="C45" s="249"/>
      <c r="D45" s="112">
        <f t="shared" si="4"/>
        <v>43</v>
      </c>
      <c r="E45" s="146"/>
      <c r="F45" s="88"/>
      <c r="G45" s="91"/>
      <c r="H45" s="91"/>
      <c r="I45" s="91"/>
      <c r="J45" s="91"/>
      <c r="K45" s="91"/>
      <c r="L45" s="91"/>
      <c r="M45" s="91"/>
      <c r="N45" s="95"/>
      <c r="O45" s="103" t="str">
        <f t="shared" si="0"/>
        <v/>
      </c>
      <c r="P45" s="104">
        <f t="shared" si="1"/>
        <v>0</v>
      </c>
      <c r="Q45" s="101" t="str">
        <f t="shared" si="2"/>
        <v/>
      </c>
      <c r="R45" s="147" t="str">
        <f t="shared" si="3"/>
        <v/>
      </c>
    </row>
    <row r="46" spans="1:32" ht="15" customHeight="1" x14ac:dyDescent="0.15">
      <c r="A46" s="238"/>
      <c r="B46" s="279"/>
      <c r="C46" s="249"/>
      <c r="D46" s="112">
        <f t="shared" si="4"/>
        <v>44</v>
      </c>
      <c r="E46" s="146"/>
      <c r="F46" s="88"/>
      <c r="G46" s="91"/>
      <c r="H46" s="91"/>
      <c r="I46" s="91"/>
      <c r="J46" s="91"/>
      <c r="K46" s="91"/>
      <c r="L46" s="91"/>
      <c r="M46" s="91"/>
      <c r="N46" s="95"/>
      <c r="O46" s="103" t="str">
        <f t="shared" si="0"/>
        <v/>
      </c>
      <c r="P46" s="104">
        <f t="shared" si="1"/>
        <v>0</v>
      </c>
      <c r="Q46" s="101" t="str">
        <f t="shared" si="2"/>
        <v/>
      </c>
      <c r="R46" s="147" t="str">
        <f t="shared" si="3"/>
        <v/>
      </c>
    </row>
    <row r="47" spans="1:32" ht="15" customHeight="1" x14ac:dyDescent="0.15">
      <c r="A47" s="238"/>
      <c r="B47" s="279"/>
      <c r="C47" s="249"/>
      <c r="D47" s="112">
        <f t="shared" si="4"/>
        <v>45</v>
      </c>
      <c r="E47" s="146"/>
      <c r="F47" s="88"/>
      <c r="G47" s="91"/>
      <c r="H47" s="91"/>
      <c r="I47" s="91"/>
      <c r="J47" s="91"/>
      <c r="K47" s="91"/>
      <c r="L47" s="91"/>
      <c r="M47" s="91"/>
      <c r="N47" s="95"/>
      <c r="O47" s="103" t="str">
        <f t="shared" si="0"/>
        <v/>
      </c>
      <c r="P47" s="104">
        <f t="shared" si="1"/>
        <v>0</v>
      </c>
      <c r="Q47" s="101" t="str">
        <f t="shared" si="2"/>
        <v/>
      </c>
      <c r="R47" s="147" t="str">
        <f t="shared" si="3"/>
        <v/>
      </c>
    </row>
    <row r="48" spans="1:32" ht="15" customHeight="1" x14ac:dyDescent="0.15">
      <c r="A48" s="238"/>
      <c r="B48" s="279"/>
      <c r="C48" s="249"/>
      <c r="D48" s="112">
        <f t="shared" si="4"/>
        <v>46</v>
      </c>
      <c r="E48" s="146"/>
      <c r="F48" s="88"/>
      <c r="G48" s="91"/>
      <c r="H48" s="91"/>
      <c r="I48" s="91"/>
      <c r="J48" s="91"/>
      <c r="K48" s="91"/>
      <c r="L48" s="91"/>
      <c r="M48" s="91"/>
      <c r="N48" s="95"/>
      <c r="O48" s="103" t="str">
        <f t="shared" si="0"/>
        <v/>
      </c>
      <c r="P48" s="104">
        <f t="shared" si="1"/>
        <v>0</v>
      </c>
      <c r="Q48" s="101" t="str">
        <f t="shared" si="2"/>
        <v/>
      </c>
      <c r="R48" s="147" t="str">
        <f t="shared" si="3"/>
        <v/>
      </c>
    </row>
    <row r="49" spans="1:18" ht="15" customHeight="1" x14ac:dyDescent="0.15">
      <c r="A49" s="240"/>
      <c r="B49" s="280"/>
      <c r="C49" s="250"/>
      <c r="D49" s="112">
        <f t="shared" si="4"/>
        <v>47</v>
      </c>
      <c r="E49" s="146"/>
      <c r="F49" s="88"/>
      <c r="G49" s="91"/>
      <c r="H49" s="91"/>
      <c r="I49" s="91"/>
      <c r="J49" s="91"/>
      <c r="K49" s="91"/>
      <c r="L49" s="91"/>
      <c r="M49" s="91"/>
      <c r="N49" s="95"/>
      <c r="O49" s="103" t="str">
        <f t="shared" si="0"/>
        <v/>
      </c>
      <c r="P49" s="104">
        <f t="shared" si="1"/>
        <v>0</v>
      </c>
      <c r="Q49" s="101" t="str">
        <f t="shared" si="2"/>
        <v/>
      </c>
      <c r="R49" s="147" t="str">
        <f t="shared" si="3"/>
        <v/>
      </c>
    </row>
    <row r="50" spans="1:18" ht="15" customHeight="1" x14ac:dyDescent="0.15">
      <c r="A50" s="281" t="s">
        <v>24</v>
      </c>
      <c r="B50" s="282"/>
      <c r="C50" s="249" t="s">
        <v>105</v>
      </c>
      <c r="D50" s="112">
        <f t="shared" si="4"/>
        <v>48</v>
      </c>
      <c r="E50" s="146"/>
      <c r="F50" s="88"/>
      <c r="G50" s="91"/>
      <c r="H50" s="91"/>
      <c r="I50" s="91"/>
      <c r="J50" s="91"/>
      <c r="K50" s="91"/>
      <c r="L50" s="91"/>
      <c r="M50" s="91"/>
      <c r="N50" s="95"/>
      <c r="O50" s="103" t="str">
        <f t="shared" si="0"/>
        <v/>
      </c>
      <c r="P50" s="104">
        <f t="shared" si="1"/>
        <v>0</v>
      </c>
      <c r="Q50" s="101" t="str">
        <f t="shared" si="2"/>
        <v/>
      </c>
      <c r="R50" s="147" t="str">
        <f t="shared" si="3"/>
        <v/>
      </c>
    </row>
    <row r="51" spans="1:18" ht="15" customHeight="1" x14ac:dyDescent="0.15">
      <c r="A51" s="281"/>
      <c r="B51" s="282"/>
      <c r="C51" s="249"/>
      <c r="D51" s="112">
        <f t="shared" si="4"/>
        <v>49</v>
      </c>
      <c r="E51" s="146"/>
      <c r="F51" s="53"/>
      <c r="G51" s="92"/>
      <c r="H51" s="92"/>
      <c r="I51" s="92"/>
      <c r="J51" s="92"/>
      <c r="K51" s="92"/>
      <c r="L51" s="92"/>
      <c r="M51" s="92"/>
      <c r="N51" s="96"/>
      <c r="O51" s="103" t="str">
        <f t="shared" si="0"/>
        <v/>
      </c>
      <c r="P51" s="104">
        <f t="shared" si="1"/>
        <v>0</v>
      </c>
      <c r="Q51" s="101" t="str">
        <f t="shared" si="2"/>
        <v/>
      </c>
      <c r="R51" s="147" t="str">
        <f t="shared" si="3"/>
        <v/>
      </c>
    </row>
    <row r="52" spans="1:18" ht="15" customHeight="1" thickBot="1" x14ac:dyDescent="0.2">
      <c r="A52" s="281"/>
      <c r="B52" s="282"/>
      <c r="C52" s="249"/>
      <c r="D52" s="112">
        <f t="shared" si="4"/>
        <v>50</v>
      </c>
      <c r="E52" s="146"/>
      <c r="F52" s="53"/>
      <c r="G52" s="92"/>
      <c r="H52" s="92"/>
      <c r="I52" s="92"/>
      <c r="J52" s="92"/>
      <c r="K52" s="92"/>
      <c r="L52" s="92"/>
      <c r="M52" s="92"/>
      <c r="N52" s="96"/>
      <c r="O52" s="105" t="str">
        <f t="shared" si="0"/>
        <v/>
      </c>
      <c r="P52" s="106">
        <f t="shared" si="1"/>
        <v>0</v>
      </c>
      <c r="Q52" s="101" t="str">
        <f t="shared" si="2"/>
        <v/>
      </c>
      <c r="R52" s="147" t="str">
        <f t="shared" si="3"/>
        <v/>
      </c>
    </row>
    <row r="53" spans="1:18" ht="12" customHeight="1" x14ac:dyDescent="0.15">
      <c r="A53" s="281"/>
      <c r="B53" s="282"/>
      <c r="C53" s="249"/>
      <c r="D53" s="276" t="s">
        <v>25</v>
      </c>
      <c r="E53" s="276"/>
      <c r="F53" s="276"/>
      <c r="G53" s="150"/>
      <c r="H53" s="150"/>
      <c r="I53" s="150"/>
      <c r="J53" s="150"/>
      <c r="K53" s="150"/>
      <c r="L53" s="150"/>
      <c r="M53" s="150"/>
      <c r="N53" s="150"/>
      <c r="O53" s="114"/>
      <c r="P53" s="114"/>
      <c r="Q53" s="150"/>
      <c r="R53" s="115"/>
    </row>
    <row r="54" spans="1:18" ht="12" customHeight="1" x14ac:dyDescent="0.15">
      <c r="A54" s="281"/>
      <c r="B54" s="282"/>
      <c r="C54" s="249"/>
      <c r="D54" s="277"/>
      <c r="E54" s="277"/>
      <c r="F54" s="277"/>
      <c r="G54" s="151"/>
      <c r="H54" s="151"/>
      <c r="I54" s="151"/>
      <c r="J54" s="151"/>
      <c r="K54" s="151"/>
      <c r="L54" s="151"/>
      <c r="M54" s="151"/>
      <c r="N54" s="151"/>
      <c r="O54" s="151"/>
      <c r="P54" s="151"/>
      <c r="Q54" s="151"/>
      <c r="R54" s="117"/>
    </row>
    <row r="55" spans="1:18" ht="12" customHeight="1" x14ac:dyDescent="0.15">
      <c r="A55" s="281"/>
      <c r="B55" s="282"/>
      <c r="C55" s="249"/>
      <c r="D55" s="274" t="s">
        <v>26</v>
      </c>
      <c r="E55" s="274"/>
      <c r="F55" s="274"/>
      <c r="G55" s="148"/>
      <c r="H55" s="148"/>
      <c r="I55" s="148"/>
      <c r="J55" s="148"/>
      <c r="K55" s="148"/>
      <c r="L55" s="148"/>
      <c r="M55" s="148"/>
      <c r="N55" s="148"/>
      <c r="O55" s="114"/>
      <c r="P55" s="114"/>
      <c r="Q55" s="148"/>
      <c r="R55" s="119"/>
    </row>
    <row r="56" spans="1:18" ht="12" customHeight="1" thickBot="1" x14ac:dyDescent="0.2">
      <c r="A56" s="283"/>
      <c r="B56" s="284"/>
      <c r="C56" s="285"/>
      <c r="D56" s="275"/>
      <c r="E56" s="275"/>
      <c r="F56" s="275"/>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tabSelected="1" view="pageBreakPreview" zoomScaleNormal="100" zoomScaleSheetLayoutView="100" workbookViewId="0">
      <selection activeCell="G4" sqref="G3:G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67</v>
      </c>
      <c r="H3" s="139">
        <v>0</v>
      </c>
      <c r="I3" s="89">
        <v>90</v>
      </c>
      <c r="J3" s="89">
        <v>45</v>
      </c>
      <c r="K3" s="89"/>
      <c r="L3" s="89"/>
      <c r="M3" s="89"/>
      <c r="N3" s="93"/>
      <c r="O3" s="99">
        <f t="shared" ref="O3:O52" si="0">IF(SUM(G3,I3,,M3)=0,"",AVERAGE(G3,I3,K3,M3))</f>
        <v>78.5</v>
      </c>
      <c r="P3" s="100">
        <f t="shared" ref="P3:P52" si="1">SUM(H3,J3,L3,N3)</f>
        <v>45</v>
      </c>
      <c r="Q3" s="101" t="str">
        <f t="shared" ref="Q3:Q52" si="2">IF(O3="","",IF(O3&gt;=85,"5",IF(O3&gt;=70,"4",IF(O3&gt;=45,"3",IF(O3&gt;=44,"2","1")))))</f>
        <v>4</v>
      </c>
      <c r="R3" s="147" t="str">
        <f t="shared" ref="R3:R52" si="3">IF(O3&lt;44,"再試験",IF(P3&gt;$D$63,"補習",""))</f>
        <v>補習</v>
      </c>
      <c r="T3" s="30" t="s">
        <v>96</v>
      </c>
      <c r="AB3" s="145"/>
      <c r="AC3" s="80"/>
      <c r="AD3" s="79"/>
      <c r="AE3" s="77"/>
      <c r="AF3" s="77"/>
    </row>
    <row r="4" spans="1:32" ht="15" customHeight="1" x14ac:dyDescent="0.15">
      <c r="A4" s="238"/>
      <c r="B4" s="239"/>
      <c r="C4" s="236"/>
      <c r="D4" s="111">
        <f t="shared" ref="D4:D52" si="4">D3+1</f>
        <v>2</v>
      </c>
      <c r="E4" s="82">
        <v>19023</v>
      </c>
      <c r="F4" s="87" t="s">
        <v>117</v>
      </c>
      <c r="G4" s="89">
        <v>65</v>
      </c>
      <c r="H4" s="80">
        <v>0</v>
      </c>
      <c r="I4" s="89">
        <v>60</v>
      </c>
      <c r="J4" s="89">
        <v>46</v>
      </c>
      <c r="K4" s="89"/>
      <c r="L4" s="89"/>
      <c r="M4" s="89"/>
      <c r="N4" s="93"/>
      <c r="O4" s="99">
        <f t="shared" si="0"/>
        <v>62.5</v>
      </c>
      <c r="P4" s="100">
        <f t="shared" si="1"/>
        <v>46</v>
      </c>
      <c r="Q4" s="101" t="str">
        <f t="shared" si="2"/>
        <v>3</v>
      </c>
      <c r="R4" s="147" t="str">
        <f t="shared" si="3"/>
        <v>補習</v>
      </c>
      <c r="T4" s="30" t="s">
        <v>64</v>
      </c>
      <c r="AB4" s="145"/>
      <c r="AC4" s="80"/>
      <c r="AD4" s="79"/>
      <c r="AE4" s="77"/>
      <c r="AF4" s="77"/>
    </row>
    <row r="5" spans="1:32" ht="15" customHeight="1" x14ac:dyDescent="0.15">
      <c r="A5" s="238"/>
      <c r="B5" s="239"/>
      <c r="C5" s="236"/>
      <c r="D5" s="111">
        <f t="shared" si="4"/>
        <v>3</v>
      </c>
      <c r="E5" s="82">
        <v>19028</v>
      </c>
      <c r="F5" s="87" t="s">
        <v>109</v>
      </c>
      <c r="G5" s="89">
        <v>63</v>
      </c>
      <c r="H5" s="80">
        <v>0</v>
      </c>
      <c r="I5" s="89">
        <v>90</v>
      </c>
      <c r="J5" s="89">
        <v>47</v>
      </c>
      <c r="K5" s="89"/>
      <c r="L5" s="89"/>
      <c r="M5" s="89"/>
      <c r="N5" s="93"/>
      <c r="O5" s="99">
        <f t="shared" si="0"/>
        <v>76.5</v>
      </c>
      <c r="P5" s="100">
        <f t="shared" si="1"/>
        <v>47</v>
      </c>
      <c r="Q5" s="101" t="str">
        <f t="shared" si="2"/>
        <v>4</v>
      </c>
      <c r="R5" s="147" t="str">
        <f t="shared" si="3"/>
        <v>補習</v>
      </c>
      <c r="T5" s="30" t="s">
        <v>65</v>
      </c>
      <c r="AB5" s="145"/>
      <c r="AC5" s="80"/>
      <c r="AD5" s="79"/>
      <c r="AE5" s="77"/>
      <c r="AF5" s="77"/>
    </row>
    <row r="6" spans="1:32" ht="15" customHeight="1" x14ac:dyDescent="0.15">
      <c r="A6" s="238"/>
      <c r="B6" s="239"/>
      <c r="C6" s="236"/>
      <c r="D6" s="111">
        <f t="shared" si="4"/>
        <v>4</v>
      </c>
      <c r="E6" s="82">
        <v>19038</v>
      </c>
      <c r="F6" s="87" t="s">
        <v>110</v>
      </c>
      <c r="G6" s="89">
        <v>61</v>
      </c>
      <c r="H6" s="80">
        <v>0</v>
      </c>
      <c r="I6" s="89">
        <v>60</v>
      </c>
      <c r="J6" s="89">
        <v>48</v>
      </c>
      <c r="K6" s="89"/>
      <c r="L6" s="89"/>
      <c r="M6" s="89"/>
      <c r="N6" s="93"/>
      <c r="O6" s="99">
        <f t="shared" si="0"/>
        <v>60.5</v>
      </c>
      <c r="P6" s="100">
        <f t="shared" si="1"/>
        <v>48</v>
      </c>
      <c r="Q6" s="101" t="str">
        <f t="shared" si="2"/>
        <v>3</v>
      </c>
      <c r="R6" s="147" t="str">
        <f t="shared" si="3"/>
        <v>補習</v>
      </c>
      <c r="T6" s="30" t="s">
        <v>66</v>
      </c>
      <c r="AB6" s="145"/>
      <c r="AC6" s="80"/>
      <c r="AD6" s="79"/>
      <c r="AE6" s="77"/>
      <c r="AF6" s="77"/>
    </row>
    <row r="7" spans="1:32" ht="15" customHeight="1" x14ac:dyDescent="0.15">
      <c r="A7" s="240"/>
      <c r="B7" s="241"/>
      <c r="C7" s="237"/>
      <c r="D7" s="111">
        <f t="shared" si="4"/>
        <v>5</v>
      </c>
      <c r="E7" s="82">
        <v>19041</v>
      </c>
      <c r="F7" s="87" t="s">
        <v>111</v>
      </c>
      <c r="G7" s="89">
        <v>59</v>
      </c>
      <c r="H7" s="80">
        <v>2</v>
      </c>
      <c r="I7" s="89"/>
      <c r="J7" s="89">
        <v>49</v>
      </c>
      <c r="K7" s="89"/>
      <c r="L7" s="89"/>
      <c r="M7" s="89"/>
      <c r="N7" s="93"/>
      <c r="O7" s="99">
        <f t="shared" si="0"/>
        <v>59</v>
      </c>
      <c r="P7" s="100">
        <f t="shared" si="1"/>
        <v>51</v>
      </c>
      <c r="Q7" s="101" t="str">
        <f t="shared" si="2"/>
        <v>3</v>
      </c>
      <c r="R7" s="147" t="str">
        <f t="shared" si="3"/>
        <v>補習</v>
      </c>
      <c r="U7" s="30" t="s">
        <v>70</v>
      </c>
      <c r="AB7" s="145"/>
      <c r="AC7" s="80"/>
      <c r="AD7" s="79"/>
      <c r="AE7" s="77"/>
      <c r="AF7" s="77"/>
    </row>
    <row r="8" spans="1:32" ht="15" customHeight="1" x14ac:dyDescent="0.15">
      <c r="A8" s="238" t="s">
        <v>92</v>
      </c>
      <c r="B8" s="239"/>
      <c r="C8" s="235" t="str">
        <f ca="1">RIGHT(CELL("filename",A1),LEN(CELL("filename",A1))-FIND("]",CELL("filename",A1)))</f>
        <v>キャリアプラン</v>
      </c>
      <c r="D8" s="111">
        <f t="shared" si="4"/>
        <v>6</v>
      </c>
      <c r="E8" s="82">
        <v>19052</v>
      </c>
      <c r="F8" s="87" t="s">
        <v>112</v>
      </c>
      <c r="G8" s="89">
        <v>57</v>
      </c>
      <c r="H8" s="80">
        <v>8</v>
      </c>
      <c r="I8" s="89">
        <v>45</v>
      </c>
      <c r="J8" s="89">
        <v>50</v>
      </c>
      <c r="K8" s="89"/>
      <c r="L8" s="89"/>
      <c r="M8" s="89"/>
      <c r="N8" s="93"/>
      <c r="O8" s="99">
        <f t="shared" si="0"/>
        <v>51</v>
      </c>
      <c r="P8" s="100">
        <f t="shared" si="1"/>
        <v>58</v>
      </c>
      <c r="Q8" s="101" t="str">
        <f t="shared" si="2"/>
        <v>3</v>
      </c>
      <c r="R8" s="147" t="str">
        <f t="shared" si="3"/>
        <v>補習</v>
      </c>
      <c r="T8" s="30"/>
      <c r="U8" s="30" t="s">
        <v>72</v>
      </c>
    </row>
    <row r="9" spans="1:32" ht="15" customHeight="1" x14ac:dyDescent="0.15">
      <c r="A9" s="238"/>
      <c r="B9" s="239"/>
      <c r="C9" s="236"/>
      <c r="D9" s="111">
        <f t="shared" si="4"/>
        <v>7</v>
      </c>
      <c r="E9" s="82">
        <v>19059</v>
      </c>
      <c r="F9" s="87" t="s">
        <v>113</v>
      </c>
      <c r="G9" s="89">
        <v>55</v>
      </c>
      <c r="H9" s="80">
        <v>0</v>
      </c>
      <c r="I9" s="89">
        <v>50</v>
      </c>
      <c r="J9" s="89">
        <v>51</v>
      </c>
      <c r="K9" s="89"/>
      <c r="L9" s="89"/>
      <c r="M9" s="89"/>
      <c r="N9" s="93"/>
      <c r="O9" s="99">
        <f t="shared" si="0"/>
        <v>52.5</v>
      </c>
      <c r="P9" s="100">
        <f t="shared" si="1"/>
        <v>51</v>
      </c>
      <c r="Q9" s="101" t="str">
        <f t="shared" si="2"/>
        <v>3</v>
      </c>
      <c r="R9" s="147" t="str">
        <f t="shared" si="3"/>
        <v>補習</v>
      </c>
      <c r="T9" s="30"/>
      <c r="AB9" s="145"/>
      <c r="AC9" s="80"/>
      <c r="AD9" s="79"/>
      <c r="AE9" s="77"/>
      <c r="AF9" s="77"/>
    </row>
    <row r="10" spans="1:32" ht="15" customHeight="1" x14ac:dyDescent="0.15">
      <c r="A10" s="238"/>
      <c r="B10" s="239"/>
      <c r="C10" s="236"/>
      <c r="D10" s="111">
        <f t="shared" si="4"/>
        <v>8</v>
      </c>
      <c r="E10" s="82">
        <v>19069</v>
      </c>
      <c r="F10" s="87" t="s">
        <v>114</v>
      </c>
      <c r="G10" s="89">
        <v>53</v>
      </c>
      <c r="H10" s="80">
        <v>2</v>
      </c>
      <c r="I10" s="89">
        <v>65</v>
      </c>
      <c r="J10" s="89">
        <v>52</v>
      </c>
      <c r="K10" s="89"/>
      <c r="L10" s="89"/>
      <c r="M10" s="89"/>
      <c r="N10" s="93"/>
      <c r="O10" s="99">
        <f t="shared" si="0"/>
        <v>59</v>
      </c>
      <c r="P10" s="100">
        <f t="shared" si="1"/>
        <v>54</v>
      </c>
      <c r="Q10" s="101" t="str">
        <f t="shared" si="2"/>
        <v>3</v>
      </c>
      <c r="R10" s="147" t="str">
        <f t="shared" si="3"/>
        <v>補習</v>
      </c>
      <c r="T10" s="30"/>
      <c r="U10" s="30" t="s">
        <v>71</v>
      </c>
      <c r="AB10" s="145"/>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47" t="str">
        <f t="shared" si="3"/>
        <v/>
      </c>
      <c r="AB11" s="145"/>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47" t="str">
        <f t="shared" si="3"/>
        <v/>
      </c>
      <c r="T12" s="30"/>
      <c r="AB12" s="145"/>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47" t="str">
        <f t="shared" si="3"/>
        <v/>
      </c>
      <c r="U13" s="30"/>
      <c r="AB13" s="145"/>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47" t="str">
        <f t="shared" si="3"/>
        <v/>
      </c>
      <c r="AB14" s="145"/>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47" t="str">
        <f t="shared" si="3"/>
        <v/>
      </c>
      <c r="AB15" s="145"/>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47" t="str">
        <f t="shared" si="3"/>
        <v/>
      </c>
      <c r="AB16" s="145"/>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47" t="str">
        <f t="shared" si="3"/>
        <v/>
      </c>
      <c r="AB17" s="145"/>
      <c r="AC17" s="80"/>
      <c r="AD17" s="79"/>
      <c r="AE17" s="77"/>
      <c r="AF17" s="77"/>
    </row>
    <row r="18" spans="1:32" ht="15" customHeight="1" x14ac:dyDescent="0.15">
      <c r="A18" s="242" t="s">
        <v>20</v>
      </c>
      <c r="B18" s="243"/>
      <c r="C18" s="251">
        <f>SUM(C23:C42)</f>
        <v>32</v>
      </c>
      <c r="D18" s="111">
        <f t="shared" si="4"/>
        <v>16</v>
      </c>
      <c r="E18" s="82"/>
      <c r="F18" s="87"/>
      <c r="G18" s="89"/>
      <c r="H18" s="89"/>
      <c r="I18" s="89"/>
      <c r="J18" s="89"/>
      <c r="K18" s="89"/>
      <c r="L18" s="89"/>
      <c r="M18" s="89"/>
      <c r="N18" s="93"/>
      <c r="O18" s="99" t="str">
        <f t="shared" si="0"/>
        <v/>
      </c>
      <c r="P18" s="100">
        <f t="shared" si="1"/>
        <v>0</v>
      </c>
      <c r="Q18" s="101" t="str">
        <f t="shared" si="2"/>
        <v/>
      </c>
      <c r="R18" s="147" t="str">
        <f t="shared" si="3"/>
        <v/>
      </c>
      <c r="AB18" s="145"/>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47" t="str">
        <f t="shared" si="3"/>
        <v/>
      </c>
      <c r="AB19" s="145"/>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47" t="str">
        <f t="shared" si="3"/>
        <v/>
      </c>
      <c r="AB20" s="145"/>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47" t="str">
        <f t="shared" si="3"/>
        <v/>
      </c>
      <c r="AB21" s="145"/>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47" t="str">
        <f t="shared" si="3"/>
        <v/>
      </c>
      <c r="AB22" s="145"/>
      <c r="AC22" s="80"/>
      <c r="AD22" s="79"/>
      <c r="AE22" s="77"/>
      <c r="AF22" s="77"/>
    </row>
    <row r="23" spans="1:32" ht="15" customHeight="1" x14ac:dyDescent="0.15">
      <c r="A23" s="242" t="s">
        <v>91</v>
      </c>
      <c r="B23" s="243"/>
      <c r="C23" s="248">
        <v>16</v>
      </c>
      <c r="D23" s="111">
        <f t="shared" si="4"/>
        <v>21</v>
      </c>
      <c r="E23" s="82"/>
      <c r="F23" s="87"/>
      <c r="G23" s="89"/>
      <c r="H23" s="89"/>
      <c r="I23" s="89"/>
      <c r="J23" s="89"/>
      <c r="K23" s="89"/>
      <c r="L23" s="89"/>
      <c r="M23" s="89"/>
      <c r="N23" s="93"/>
      <c r="O23" s="99" t="str">
        <f t="shared" si="0"/>
        <v/>
      </c>
      <c r="P23" s="100">
        <f t="shared" si="1"/>
        <v>0</v>
      </c>
      <c r="Q23" s="101" t="str">
        <f t="shared" si="2"/>
        <v/>
      </c>
      <c r="R23" s="147" t="str">
        <f t="shared" si="3"/>
        <v/>
      </c>
      <c r="AB23" s="145"/>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47" t="str">
        <f t="shared" si="3"/>
        <v/>
      </c>
      <c r="AB24" s="145"/>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47" t="str">
        <f t="shared" si="3"/>
        <v/>
      </c>
      <c r="AB25" s="145"/>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47" t="str">
        <f t="shared" si="3"/>
        <v/>
      </c>
      <c r="AB26" s="145"/>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47" t="str">
        <f t="shared" si="3"/>
        <v/>
      </c>
      <c r="AB27" s="145"/>
      <c r="AC27" s="80"/>
      <c r="AD27" s="79"/>
      <c r="AE27" s="77"/>
      <c r="AF27" s="77"/>
    </row>
    <row r="28" spans="1:32" ht="15" customHeight="1" x14ac:dyDescent="0.15">
      <c r="A28" s="242" t="s">
        <v>93</v>
      </c>
      <c r="B28" s="243"/>
      <c r="C28" s="248">
        <v>16</v>
      </c>
      <c r="D28" s="111">
        <f t="shared" si="4"/>
        <v>26</v>
      </c>
      <c r="E28" s="82"/>
      <c r="F28" s="87"/>
      <c r="G28" s="89"/>
      <c r="H28" s="89"/>
      <c r="I28" s="89"/>
      <c r="J28" s="89"/>
      <c r="K28" s="89"/>
      <c r="L28" s="89"/>
      <c r="M28" s="89"/>
      <c r="N28" s="93"/>
      <c r="O28" s="99" t="str">
        <f t="shared" si="0"/>
        <v/>
      </c>
      <c r="P28" s="100">
        <f t="shared" si="1"/>
        <v>0</v>
      </c>
      <c r="Q28" s="101" t="str">
        <f t="shared" si="2"/>
        <v/>
      </c>
      <c r="R28" s="147" t="str">
        <f t="shared" si="3"/>
        <v/>
      </c>
      <c r="AB28" s="145"/>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47" t="str">
        <f t="shared" si="3"/>
        <v/>
      </c>
      <c r="AB29" s="145"/>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47" t="str">
        <f t="shared" si="3"/>
        <v/>
      </c>
      <c r="AB30" s="145"/>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47"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47" t="str">
        <f t="shared" si="3"/>
        <v/>
      </c>
      <c r="AB32" s="145"/>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47" t="str">
        <f t="shared" si="3"/>
        <v/>
      </c>
      <c r="AB33" s="145"/>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47" t="str">
        <f t="shared" si="3"/>
        <v/>
      </c>
      <c r="AB34" s="145"/>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47" t="str">
        <f t="shared" si="3"/>
        <v/>
      </c>
      <c r="AB35" s="145"/>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47"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47"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47"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47"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47"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47" t="str">
        <f t="shared" si="3"/>
        <v/>
      </c>
    </row>
    <row r="42" spans="1:32" ht="15" customHeight="1" x14ac:dyDescent="0.15">
      <c r="A42" s="246"/>
      <c r="B42" s="247"/>
      <c r="C42" s="250"/>
      <c r="D42" s="112">
        <f t="shared" si="4"/>
        <v>40</v>
      </c>
      <c r="E42" s="146"/>
      <c r="F42" s="88"/>
      <c r="G42" s="91"/>
      <c r="H42" s="91"/>
      <c r="I42" s="91"/>
      <c r="J42" s="91"/>
      <c r="K42" s="91"/>
      <c r="L42" s="91"/>
      <c r="M42" s="91"/>
      <c r="N42" s="95"/>
      <c r="O42" s="103" t="str">
        <f t="shared" si="0"/>
        <v/>
      </c>
      <c r="P42" s="104">
        <f t="shared" si="1"/>
        <v>0</v>
      </c>
      <c r="Q42" s="101" t="str">
        <f t="shared" si="2"/>
        <v/>
      </c>
      <c r="R42" s="147" t="str">
        <f t="shared" si="3"/>
        <v/>
      </c>
    </row>
    <row r="43" spans="1:32" ht="15" customHeight="1" x14ac:dyDescent="0.15">
      <c r="A43" s="271" t="s">
        <v>21</v>
      </c>
      <c r="B43" s="278"/>
      <c r="C43" s="248" t="s">
        <v>105</v>
      </c>
      <c r="D43" s="112">
        <f t="shared" si="4"/>
        <v>41</v>
      </c>
      <c r="E43" s="146"/>
      <c r="F43" s="88"/>
      <c r="G43" s="91"/>
      <c r="H43" s="91"/>
      <c r="I43" s="91"/>
      <c r="J43" s="91"/>
      <c r="K43" s="91"/>
      <c r="L43" s="91"/>
      <c r="M43" s="91"/>
      <c r="N43" s="95"/>
      <c r="O43" s="103" t="str">
        <f t="shared" si="0"/>
        <v/>
      </c>
      <c r="P43" s="104">
        <f t="shared" si="1"/>
        <v>0</v>
      </c>
      <c r="Q43" s="101" t="str">
        <f t="shared" si="2"/>
        <v/>
      </c>
      <c r="R43" s="147" t="str">
        <f t="shared" si="3"/>
        <v/>
      </c>
    </row>
    <row r="44" spans="1:32" ht="15" customHeight="1" x14ac:dyDescent="0.15">
      <c r="A44" s="238"/>
      <c r="B44" s="279"/>
      <c r="C44" s="249"/>
      <c r="D44" s="112">
        <f t="shared" si="4"/>
        <v>42</v>
      </c>
      <c r="E44" s="146"/>
      <c r="F44" s="88"/>
      <c r="G44" s="91"/>
      <c r="H44" s="91"/>
      <c r="I44" s="91"/>
      <c r="J44" s="91"/>
      <c r="K44" s="91"/>
      <c r="L44" s="91"/>
      <c r="M44" s="91"/>
      <c r="N44" s="95"/>
      <c r="O44" s="103" t="str">
        <f t="shared" si="0"/>
        <v/>
      </c>
      <c r="P44" s="104">
        <f t="shared" si="1"/>
        <v>0</v>
      </c>
      <c r="Q44" s="101" t="str">
        <f t="shared" si="2"/>
        <v/>
      </c>
      <c r="R44" s="147" t="str">
        <f t="shared" si="3"/>
        <v/>
      </c>
    </row>
    <row r="45" spans="1:32" ht="15" customHeight="1" x14ac:dyDescent="0.15">
      <c r="A45" s="238"/>
      <c r="B45" s="279"/>
      <c r="C45" s="249"/>
      <c r="D45" s="112">
        <f t="shared" si="4"/>
        <v>43</v>
      </c>
      <c r="E45" s="146"/>
      <c r="F45" s="88"/>
      <c r="G45" s="91"/>
      <c r="H45" s="91"/>
      <c r="I45" s="91"/>
      <c r="J45" s="91"/>
      <c r="K45" s="91"/>
      <c r="L45" s="91"/>
      <c r="M45" s="91"/>
      <c r="N45" s="95"/>
      <c r="O45" s="103" t="str">
        <f t="shared" si="0"/>
        <v/>
      </c>
      <c r="P45" s="104">
        <f t="shared" si="1"/>
        <v>0</v>
      </c>
      <c r="Q45" s="101" t="str">
        <f t="shared" si="2"/>
        <v/>
      </c>
      <c r="R45" s="147" t="str">
        <f t="shared" si="3"/>
        <v/>
      </c>
    </row>
    <row r="46" spans="1:32" ht="15" customHeight="1" x14ac:dyDescent="0.15">
      <c r="A46" s="238"/>
      <c r="B46" s="279"/>
      <c r="C46" s="249"/>
      <c r="D46" s="112">
        <f t="shared" si="4"/>
        <v>44</v>
      </c>
      <c r="E46" s="146"/>
      <c r="F46" s="88"/>
      <c r="G46" s="91"/>
      <c r="H46" s="91"/>
      <c r="I46" s="91"/>
      <c r="J46" s="91"/>
      <c r="K46" s="91"/>
      <c r="L46" s="91"/>
      <c r="M46" s="91"/>
      <c r="N46" s="95"/>
      <c r="O46" s="103" t="str">
        <f t="shared" si="0"/>
        <v/>
      </c>
      <c r="P46" s="104">
        <f t="shared" si="1"/>
        <v>0</v>
      </c>
      <c r="Q46" s="101" t="str">
        <f t="shared" si="2"/>
        <v/>
      </c>
      <c r="R46" s="147" t="str">
        <f t="shared" si="3"/>
        <v/>
      </c>
    </row>
    <row r="47" spans="1:32" ht="15" customHeight="1" x14ac:dyDescent="0.15">
      <c r="A47" s="238"/>
      <c r="B47" s="279"/>
      <c r="C47" s="249"/>
      <c r="D47" s="112">
        <f t="shared" si="4"/>
        <v>45</v>
      </c>
      <c r="E47" s="146"/>
      <c r="F47" s="88"/>
      <c r="G47" s="91"/>
      <c r="H47" s="91"/>
      <c r="I47" s="91"/>
      <c r="J47" s="91"/>
      <c r="K47" s="91"/>
      <c r="L47" s="91"/>
      <c r="M47" s="91"/>
      <c r="N47" s="95"/>
      <c r="O47" s="103" t="str">
        <f t="shared" si="0"/>
        <v/>
      </c>
      <c r="P47" s="104">
        <f t="shared" si="1"/>
        <v>0</v>
      </c>
      <c r="Q47" s="101" t="str">
        <f t="shared" si="2"/>
        <v/>
      </c>
      <c r="R47" s="147" t="str">
        <f t="shared" si="3"/>
        <v/>
      </c>
    </row>
    <row r="48" spans="1:32" ht="15" customHeight="1" x14ac:dyDescent="0.15">
      <c r="A48" s="238"/>
      <c r="B48" s="279"/>
      <c r="C48" s="249"/>
      <c r="D48" s="112">
        <f t="shared" si="4"/>
        <v>46</v>
      </c>
      <c r="E48" s="146"/>
      <c r="F48" s="88"/>
      <c r="G48" s="91"/>
      <c r="H48" s="91"/>
      <c r="I48" s="91"/>
      <c r="J48" s="91"/>
      <c r="K48" s="91"/>
      <c r="L48" s="91"/>
      <c r="M48" s="91"/>
      <c r="N48" s="95"/>
      <c r="O48" s="103" t="str">
        <f t="shared" si="0"/>
        <v/>
      </c>
      <c r="P48" s="104">
        <f t="shared" si="1"/>
        <v>0</v>
      </c>
      <c r="Q48" s="101" t="str">
        <f t="shared" si="2"/>
        <v/>
      </c>
      <c r="R48" s="147" t="str">
        <f t="shared" si="3"/>
        <v/>
      </c>
    </row>
    <row r="49" spans="1:18" ht="15" customHeight="1" x14ac:dyDescent="0.15">
      <c r="A49" s="240"/>
      <c r="B49" s="280"/>
      <c r="C49" s="250"/>
      <c r="D49" s="112">
        <f t="shared" si="4"/>
        <v>47</v>
      </c>
      <c r="E49" s="146"/>
      <c r="F49" s="88"/>
      <c r="G49" s="91"/>
      <c r="H49" s="91"/>
      <c r="I49" s="91"/>
      <c r="J49" s="91"/>
      <c r="K49" s="91"/>
      <c r="L49" s="91"/>
      <c r="M49" s="91"/>
      <c r="N49" s="95"/>
      <c r="O49" s="103" t="str">
        <f t="shared" si="0"/>
        <v/>
      </c>
      <c r="P49" s="104">
        <f t="shared" si="1"/>
        <v>0</v>
      </c>
      <c r="Q49" s="101" t="str">
        <f t="shared" si="2"/>
        <v/>
      </c>
      <c r="R49" s="147" t="str">
        <f t="shared" si="3"/>
        <v/>
      </c>
    </row>
    <row r="50" spans="1:18" ht="15" customHeight="1" x14ac:dyDescent="0.15">
      <c r="A50" s="281" t="s">
        <v>24</v>
      </c>
      <c r="B50" s="282"/>
      <c r="C50" s="249" t="s">
        <v>105</v>
      </c>
      <c r="D50" s="112">
        <f t="shared" si="4"/>
        <v>48</v>
      </c>
      <c r="E50" s="146"/>
      <c r="F50" s="88"/>
      <c r="G50" s="91"/>
      <c r="H50" s="91"/>
      <c r="I50" s="91"/>
      <c r="J50" s="91"/>
      <c r="K50" s="91"/>
      <c r="L50" s="91"/>
      <c r="M50" s="91"/>
      <c r="N50" s="95"/>
      <c r="O50" s="103" t="str">
        <f t="shared" si="0"/>
        <v/>
      </c>
      <c r="P50" s="104">
        <f t="shared" si="1"/>
        <v>0</v>
      </c>
      <c r="Q50" s="101" t="str">
        <f t="shared" si="2"/>
        <v/>
      </c>
      <c r="R50" s="147" t="str">
        <f t="shared" si="3"/>
        <v/>
      </c>
    </row>
    <row r="51" spans="1:18" ht="15" customHeight="1" x14ac:dyDescent="0.15">
      <c r="A51" s="281"/>
      <c r="B51" s="282"/>
      <c r="C51" s="249"/>
      <c r="D51" s="112">
        <f t="shared" si="4"/>
        <v>49</v>
      </c>
      <c r="E51" s="146"/>
      <c r="F51" s="53"/>
      <c r="G51" s="92"/>
      <c r="H51" s="92"/>
      <c r="I51" s="92"/>
      <c r="J51" s="92"/>
      <c r="K51" s="92"/>
      <c r="L51" s="92"/>
      <c r="M51" s="92"/>
      <c r="N51" s="96"/>
      <c r="O51" s="103" t="str">
        <f t="shared" si="0"/>
        <v/>
      </c>
      <c r="P51" s="104">
        <f t="shared" si="1"/>
        <v>0</v>
      </c>
      <c r="Q51" s="101" t="str">
        <f t="shared" si="2"/>
        <v/>
      </c>
      <c r="R51" s="147" t="str">
        <f t="shared" si="3"/>
        <v/>
      </c>
    </row>
    <row r="52" spans="1:18" ht="15" customHeight="1" thickBot="1" x14ac:dyDescent="0.2">
      <c r="A52" s="281"/>
      <c r="B52" s="282"/>
      <c r="C52" s="249"/>
      <c r="D52" s="112">
        <f t="shared" si="4"/>
        <v>50</v>
      </c>
      <c r="E52" s="146"/>
      <c r="F52" s="53"/>
      <c r="G52" s="92"/>
      <c r="H52" s="92"/>
      <c r="I52" s="92"/>
      <c r="J52" s="92"/>
      <c r="K52" s="92"/>
      <c r="L52" s="92"/>
      <c r="M52" s="92"/>
      <c r="N52" s="96"/>
      <c r="O52" s="105" t="str">
        <f t="shared" si="0"/>
        <v/>
      </c>
      <c r="P52" s="106">
        <f t="shared" si="1"/>
        <v>0</v>
      </c>
      <c r="Q52" s="101" t="str">
        <f t="shared" si="2"/>
        <v/>
      </c>
      <c r="R52" s="147" t="str">
        <f t="shared" si="3"/>
        <v/>
      </c>
    </row>
    <row r="53" spans="1:18" ht="12" customHeight="1" x14ac:dyDescent="0.15">
      <c r="A53" s="281"/>
      <c r="B53" s="282"/>
      <c r="C53" s="249"/>
      <c r="D53" s="276" t="s">
        <v>25</v>
      </c>
      <c r="E53" s="276"/>
      <c r="F53" s="276"/>
      <c r="G53" s="150"/>
      <c r="H53" s="150"/>
      <c r="I53" s="150"/>
      <c r="J53" s="150"/>
      <c r="K53" s="150"/>
      <c r="L53" s="150"/>
      <c r="M53" s="150"/>
      <c r="N53" s="150"/>
      <c r="O53" s="114"/>
      <c r="P53" s="114"/>
      <c r="Q53" s="150"/>
      <c r="R53" s="115"/>
    </row>
    <row r="54" spans="1:18" ht="12" customHeight="1" x14ac:dyDescent="0.15">
      <c r="A54" s="281"/>
      <c r="B54" s="282"/>
      <c r="C54" s="249"/>
      <c r="D54" s="277"/>
      <c r="E54" s="277"/>
      <c r="F54" s="277"/>
      <c r="G54" s="151"/>
      <c r="H54" s="151"/>
      <c r="I54" s="151"/>
      <c r="J54" s="151"/>
      <c r="K54" s="151"/>
      <c r="L54" s="151"/>
      <c r="M54" s="151"/>
      <c r="N54" s="151"/>
      <c r="O54" s="151"/>
      <c r="P54" s="151"/>
      <c r="Q54" s="151"/>
      <c r="R54" s="117"/>
    </row>
    <row r="55" spans="1:18" ht="12" customHeight="1" x14ac:dyDescent="0.15">
      <c r="A55" s="281"/>
      <c r="B55" s="282"/>
      <c r="C55" s="249"/>
      <c r="D55" s="274" t="s">
        <v>26</v>
      </c>
      <c r="E55" s="274"/>
      <c r="F55" s="274"/>
      <c r="G55" s="148"/>
      <c r="H55" s="148"/>
      <c r="I55" s="148"/>
      <c r="J55" s="148"/>
      <c r="K55" s="148"/>
      <c r="L55" s="148"/>
      <c r="M55" s="148"/>
      <c r="N55" s="148"/>
      <c r="O55" s="114"/>
      <c r="P55" s="114"/>
      <c r="Q55" s="148"/>
      <c r="R55" s="119"/>
    </row>
    <row r="56" spans="1:18" ht="12" customHeight="1" thickBot="1" x14ac:dyDescent="0.2">
      <c r="A56" s="283"/>
      <c r="B56" s="284"/>
      <c r="C56" s="285"/>
      <c r="D56" s="275"/>
      <c r="E56" s="275"/>
      <c r="F56" s="275"/>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tabSelected="1" view="pageBreakPreview" zoomScaleNormal="100" zoomScaleSheetLayoutView="100" workbookViewId="0">
      <selection activeCell="G4" sqref="G3:G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v>67</v>
      </c>
      <c r="H3" s="139"/>
      <c r="I3" s="89"/>
      <c r="J3" s="89">
        <v>45</v>
      </c>
      <c r="K3" s="89"/>
      <c r="L3" s="89"/>
      <c r="M3" s="89"/>
      <c r="N3" s="93"/>
      <c r="O3" s="99">
        <f t="shared" ref="O3:O52" si="0">IF(SUM(G3,I3,,M3)=0,"",AVERAGE(G3,I3,K3,M3))</f>
        <v>67</v>
      </c>
      <c r="P3" s="100">
        <f t="shared" ref="P3:P52" si="1">SUM(H3,J3,L3,N3)</f>
        <v>45</v>
      </c>
      <c r="Q3" s="101" t="str">
        <f t="shared" ref="Q3:Q52" si="2">IF(O3="","",IF(O3&gt;=85,"5",IF(O3&gt;=70,"4",IF(O3&gt;=45,"3",IF(O3&gt;=44,"2","1")))))</f>
        <v>3</v>
      </c>
      <c r="R3" s="165" t="str">
        <f t="shared" ref="R3:R52" si="3">IF(O3&lt;44,"再試験",IF(P3&gt;$D$63,"補習",""))</f>
        <v>補習</v>
      </c>
      <c r="T3" s="30" t="s">
        <v>96</v>
      </c>
      <c r="AB3" s="160"/>
      <c r="AC3" s="80"/>
      <c r="AD3" s="79"/>
      <c r="AE3" s="77"/>
      <c r="AF3" s="77"/>
    </row>
    <row r="4" spans="1:32" ht="15" customHeight="1" x14ac:dyDescent="0.15">
      <c r="A4" s="238"/>
      <c r="B4" s="239"/>
      <c r="C4" s="236"/>
      <c r="D4" s="111">
        <f t="shared" ref="D4:D52" si="4">D3+1</f>
        <v>2</v>
      </c>
      <c r="E4" s="82">
        <v>19023</v>
      </c>
      <c r="F4" s="87" t="s">
        <v>117</v>
      </c>
      <c r="G4" s="89">
        <v>65</v>
      </c>
      <c r="H4" s="80"/>
      <c r="I4" s="89"/>
      <c r="J4" s="89">
        <v>46</v>
      </c>
      <c r="K4" s="89"/>
      <c r="L4" s="89"/>
      <c r="M4" s="89"/>
      <c r="N4" s="93"/>
      <c r="O4" s="99">
        <f t="shared" si="0"/>
        <v>65</v>
      </c>
      <c r="P4" s="100">
        <f t="shared" si="1"/>
        <v>46</v>
      </c>
      <c r="Q4" s="101" t="str">
        <f t="shared" si="2"/>
        <v>3</v>
      </c>
      <c r="R4" s="165" t="str">
        <f t="shared" si="3"/>
        <v>補習</v>
      </c>
      <c r="T4" s="30" t="s">
        <v>64</v>
      </c>
      <c r="AB4" s="160"/>
      <c r="AC4" s="80"/>
      <c r="AD4" s="79"/>
      <c r="AE4" s="77"/>
      <c r="AF4" s="77"/>
    </row>
    <row r="5" spans="1:32" ht="15" customHeight="1" x14ac:dyDescent="0.15">
      <c r="A5" s="238"/>
      <c r="B5" s="239"/>
      <c r="C5" s="236"/>
      <c r="D5" s="111">
        <f t="shared" si="4"/>
        <v>3</v>
      </c>
      <c r="E5" s="82">
        <v>19028</v>
      </c>
      <c r="F5" s="87" t="s">
        <v>109</v>
      </c>
      <c r="G5" s="89">
        <v>63</v>
      </c>
      <c r="H5" s="80"/>
      <c r="I5" s="89"/>
      <c r="J5" s="89">
        <v>47</v>
      </c>
      <c r="K5" s="89"/>
      <c r="L5" s="89"/>
      <c r="M5" s="89"/>
      <c r="N5" s="93"/>
      <c r="O5" s="99">
        <f t="shared" si="0"/>
        <v>63</v>
      </c>
      <c r="P5" s="100">
        <f t="shared" si="1"/>
        <v>47</v>
      </c>
      <c r="Q5" s="101" t="str">
        <f t="shared" si="2"/>
        <v>3</v>
      </c>
      <c r="R5" s="165" t="str">
        <f t="shared" si="3"/>
        <v>補習</v>
      </c>
      <c r="T5" s="30" t="s">
        <v>65</v>
      </c>
      <c r="AB5" s="160"/>
      <c r="AC5" s="80"/>
      <c r="AD5" s="79"/>
      <c r="AE5" s="77"/>
      <c r="AF5" s="77"/>
    </row>
    <row r="6" spans="1:32" ht="15" customHeight="1" x14ac:dyDescent="0.15">
      <c r="A6" s="238"/>
      <c r="B6" s="239"/>
      <c r="C6" s="236"/>
      <c r="D6" s="111">
        <f t="shared" si="4"/>
        <v>4</v>
      </c>
      <c r="E6" s="82">
        <v>19038</v>
      </c>
      <c r="F6" s="87" t="s">
        <v>110</v>
      </c>
      <c r="G6" s="89">
        <v>61</v>
      </c>
      <c r="H6" s="80"/>
      <c r="I6" s="89"/>
      <c r="J6" s="89">
        <v>48</v>
      </c>
      <c r="K6" s="89"/>
      <c r="L6" s="89"/>
      <c r="M6" s="89"/>
      <c r="N6" s="93"/>
      <c r="O6" s="99">
        <f t="shared" si="0"/>
        <v>61</v>
      </c>
      <c r="P6" s="100">
        <f t="shared" si="1"/>
        <v>48</v>
      </c>
      <c r="Q6" s="101" t="str">
        <f t="shared" si="2"/>
        <v>3</v>
      </c>
      <c r="R6" s="165" t="str">
        <f t="shared" si="3"/>
        <v>補習</v>
      </c>
      <c r="T6" s="30" t="s">
        <v>66</v>
      </c>
      <c r="AB6" s="160"/>
      <c r="AC6" s="80"/>
      <c r="AD6" s="79"/>
      <c r="AE6" s="77"/>
      <c r="AF6" s="77"/>
    </row>
    <row r="7" spans="1:32" ht="15" customHeight="1" x14ac:dyDescent="0.15">
      <c r="A7" s="240"/>
      <c r="B7" s="241"/>
      <c r="C7" s="237"/>
      <c r="D7" s="111">
        <f t="shared" si="4"/>
        <v>5</v>
      </c>
      <c r="E7" s="82">
        <v>19041</v>
      </c>
      <c r="F7" s="87" t="s">
        <v>111</v>
      </c>
      <c r="G7" s="89">
        <v>59</v>
      </c>
      <c r="H7" s="80"/>
      <c r="I7" s="89"/>
      <c r="J7" s="89">
        <v>49</v>
      </c>
      <c r="K7" s="89"/>
      <c r="L7" s="89"/>
      <c r="M7" s="89"/>
      <c r="N7" s="93"/>
      <c r="O7" s="99">
        <f t="shared" si="0"/>
        <v>59</v>
      </c>
      <c r="P7" s="100">
        <f t="shared" si="1"/>
        <v>49</v>
      </c>
      <c r="Q7" s="101" t="str">
        <f t="shared" si="2"/>
        <v>3</v>
      </c>
      <c r="R7" s="165" t="str">
        <f t="shared" si="3"/>
        <v>補習</v>
      </c>
      <c r="U7" s="30" t="s">
        <v>70</v>
      </c>
      <c r="AB7" s="160"/>
      <c r="AC7" s="80"/>
      <c r="AD7" s="79"/>
      <c r="AE7" s="77"/>
      <c r="AF7" s="77"/>
    </row>
    <row r="8" spans="1:32" ht="15" customHeight="1" x14ac:dyDescent="0.15">
      <c r="A8" s="238" t="s">
        <v>92</v>
      </c>
      <c r="B8" s="239"/>
      <c r="C8" s="235" t="str">
        <f ca="1">RIGHT(CELL("filename",A1),LEN(CELL("filename",A1))-FIND("]",CELL("filename",A1)))</f>
        <v>ITP（マネージメント）</v>
      </c>
      <c r="D8" s="111">
        <f t="shared" si="4"/>
        <v>6</v>
      </c>
      <c r="E8" s="82">
        <v>19052</v>
      </c>
      <c r="F8" s="87" t="s">
        <v>112</v>
      </c>
      <c r="G8" s="89">
        <v>57</v>
      </c>
      <c r="H8" s="80"/>
      <c r="I8" s="89"/>
      <c r="J8" s="89">
        <v>50</v>
      </c>
      <c r="K8" s="89"/>
      <c r="L8" s="89"/>
      <c r="M8" s="89"/>
      <c r="N8" s="93"/>
      <c r="O8" s="99">
        <f t="shared" si="0"/>
        <v>57</v>
      </c>
      <c r="P8" s="100">
        <f t="shared" si="1"/>
        <v>50</v>
      </c>
      <c r="Q8" s="101" t="str">
        <f t="shared" si="2"/>
        <v>3</v>
      </c>
      <c r="R8" s="165" t="str">
        <f t="shared" si="3"/>
        <v>補習</v>
      </c>
      <c r="T8" s="30"/>
      <c r="U8" s="30" t="s">
        <v>72</v>
      </c>
    </row>
    <row r="9" spans="1:32" ht="15" customHeight="1" x14ac:dyDescent="0.15">
      <c r="A9" s="238"/>
      <c r="B9" s="239"/>
      <c r="C9" s="236"/>
      <c r="D9" s="111">
        <f t="shared" si="4"/>
        <v>7</v>
      </c>
      <c r="E9" s="82">
        <v>19059</v>
      </c>
      <c r="F9" s="87" t="s">
        <v>113</v>
      </c>
      <c r="G9" s="89">
        <v>55</v>
      </c>
      <c r="H9" s="80"/>
      <c r="I9" s="89"/>
      <c r="J9" s="89">
        <v>51</v>
      </c>
      <c r="K9" s="89"/>
      <c r="L9" s="89"/>
      <c r="M9" s="89"/>
      <c r="N9" s="93"/>
      <c r="O9" s="99">
        <f t="shared" si="0"/>
        <v>55</v>
      </c>
      <c r="P9" s="100">
        <f t="shared" si="1"/>
        <v>51</v>
      </c>
      <c r="Q9" s="101" t="str">
        <f t="shared" si="2"/>
        <v>3</v>
      </c>
      <c r="R9" s="165" t="str">
        <f t="shared" si="3"/>
        <v>補習</v>
      </c>
      <c r="T9" s="30"/>
      <c r="AB9" s="160"/>
      <c r="AC9" s="80"/>
      <c r="AD9" s="79"/>
      <c r="AE9" s="77"/>
      <c r="AF9" s="77"/>
    </row>
    <row r="10" spans="1:32" ht="15" customHeight="1" x14ac:dyDescent="0.15">
      <c r="A10" s="238"/>
      <c r="B10" s="239"/>
      <c r="C10" s="236"/>
      <c r="D10" s="111">
        <f t="shared" si="4"/>
        <v>8</v>
      </c>
      <c r="E10" s="82">
        <v>19069</v>
      </c>
      <c r="F10" s="87" t="s">
        <v>114</v>
      </c>
      <c r="G10" s="89">
        <v>53</v>
      </c>
      <c r="H10" s="80"/>
      <c r="I10" s="89"/>
      <c r="J10" s="89">
        <v>52</v>
      </c>
      <c r="K10" s="89"/>
      <c r="L10" s="89"/>
      <c r="M10" s="89"/>
      <c r="N10" s="93"/>
      <c r="O10" s="99">
        <f t="shared" si="0"/>
        <v>53</v>
      </c>
      <c r="P10" s="100">
        <f t="shared" si="1"/>
        <v>52</v>
      </c>
      <c r="Q10" s="101" t="str">
        <f t="shared" si="2"/>
        <v>3</v>
      </c>
      <c r="R10" s="165" t="str">
        <f t="shared" si="3"/>
        <v>補習</v>
      </c>
      <c r="T10" s="30"/>
      <c r="U10" s="30" t="s">
        <v>71</v>
      </c>
      <c r="AB10" s="160"/>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242" t="s">
        <v>20</v>
      </c>
      <c r="B18" s="243"/>
      <c r="C18" s="251">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242" t="s">
        <v>91</v>
      </c>
      <c r="B23" s="243"/>
      <c r="C23" s="248"/>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242" t="s">
        <v>93</v>
      </c>
      <c r="B28" s="243"/>
      <c r="C28" s="248">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246"/>
      <c r="B42" s="247"/>
      <c r="C42" s="250"/>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271" t="s">
        <v>21</v>
      </c>
      <c r="B43" s="278"/>
      <c r="C43" s="248" t="s">
        <v>116</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238"/>
      <c r="B44" s="279"/>
      <c r="C44" s="249"/>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238"/>
      <c r="B45" s="279"/>
      <c r="C45" s="249"/>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238"/>
      <c r="B46" s="279"/>
      <c r="C46" s="249"/>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238"/>
      <c r="B47" s="279"/>
      <c r="C47" s="249"/>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238"/>
      <c r="B48" s="279"/>
      <c r="C48" s="249"/>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240"/>
      <c r="B49" s="280"/>
      <c r="C49" s="250"/>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281" t="s">
        <v>24</v>
      </c>
      <c r="B50" s="282"/>
      <c r="C50" s="249" t="s">
        <v>106</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281"/>
      <c r="B51" s="282"/>
      <c r="C51" s="249"/>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281"/>
      <c r="B52" s="282"/>
      <c r="C52" s="249"/>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281"/>
      <c r="B53" s="282"/>
      <c r="C53" s="249"/>
      <c r="D53" s="276" t="s">
        <v>25</v>
      </c>
      <c r="E53" s="276"/>
      <c r="F53" s="276"/>
      <c r="G53" s="163"/>
      <c r="H53" s="163"/>
      <c r="I53" s="163"/>
      <c r="J53" s="163"/>
      <c r="K53" s="163"/>
      <c r="L53" s="163"/>
      <c r="M53" s="163"/>
      <c r="N53" s="163"/>
      <c r="O53" s="114"/>
      <c r="P53" s="114"/>
      <c r="Q53" s="163"/>
      <c r="R53" s="115"/>
    </row>
    <row r="54" spans="1:18" ht="12" customHeight="1" x14ac:dyDescent="0.15">
      <c r="A54" s="281"/>
      <c r="B54" s="282"/>
      <c r="C54" s="249"/>
      <c r="D54" s="277"/>
      <c r="E54" s="277"/>
      <c r="F54" s="277"/>
      <c r="G54" s="164"/>
      <c r="H54" s="164"/>
      <c r="I54" s="164"/>
      <c r="J54" s="164"/>
      <c r="K54" s="164"/>
      <c r="L54" s="164"/>
      <c r="M54" s="164"/>
      <c r="N54" s="164"/>
      <c r="O54" s="164"/>
      <c r="P54" s="164"/>
      <c r="Q54" s="164"/>
      <c r="R54" s="117"/>
    </row>
    <row r="55" spans="1:18" ht="12" customHeight="1" x14ac:dyDescent="0.15">
      <c r="A55" s="281"/>
      <c r="B55" s="282"/>
      <c r="C55" s="249"/>
      <c r="D55" s="274" t="s">
        <v>26</v>
      </c>
      <c r="E55" s="274"/>
      <c r="F55" s="274"/>
      <c r="G55" s="161"/>
      <c r="H55" s="161"/>
      <c r="I55" s="161"/>
      <c r="J55" s="161"/>
      <c r="K55" s="161"/>
      <c r="L55" s="161"/>
      <c r="M55" s="161"/>
      <c r="N55" s="161"/>
      <c r="O55" s="114"/>
      <c r="P55" s="114"/>
      <c r="Q55" s="161"/>
      <c r="R55" s="119"/>
    </row>
    <row r="56" spans="1:18" ht="12" customHeight="1" thickBot="1" x14ac:dyDescent="0.2">
      <c r="A56" s="283"/>
      <c r="B56" s="284"/>
      <c r="C56" s="285"/>
      <c r="D56" s="275"/>
      <c r="E56" s="275"/>
      <c r="F56" s="275"/>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activeCell="J8" sqref="J8"/>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258" t="s">
        <v>4</v>
      </c>
      <c r="B1" s="259"/>
      <c r="C1" s="273" t="s">
        <v>115</v>
      </c>
      <c r="D1" s="262" t="s">
        <v>5</v>
      </c>
      <c r="E1" s="264" t="s">
        <v>6</v>
      </c>
      <c r="F1" s="257" t="s">
        <v>7</v>
      </c>
      <c r="G1" s="256"/>
      <c r="H1" s="256"/>
      <c r="I1" s="256"/>
      <c r="J1" s="256"/>
      <c r="K1" s="256"/>
      <c r="L1" s="256"/>
      <c r="M1" s="256"/>
      <c r="N1" s="257"/>
      <c r="O1" s="267" t="s">
        <v>82</v>
      </c>
      <c r="P1" s="268"/>
      <c r="Q1" s="269" t="s">
        <v>83</v>
      </c>
      <c r="R1" s="254" t="s">
        <v>13</v>
      </c>
    </row>
    <row r="2" spans="1:32" ht="40.5" customHeight="1" x14ac:dyDescent="0.15">
      <c r="A2" s="260"/>
      <c r="B2" s="261"/>
      <c r="C2" s="250"/>
      <c r="D2" s="263"/>
      <c r="E2" s="265"/>
      <c r="F2" s="266"/>
      <c r="G2" s="107" t="s">
        <v>78</v>
      </c>
      <c r="H2" s="107" t="s">
        <v>15</v>
      </c>
      <c r="I2" s="107" t="s">
        <v>79</v>
      </c>
      <c r="J2" s="107" t="s">
        <v>15</v>
      </c>
      <c r="K2" s="107" t="s">
        <v>80</v>
      </c>
      <c r="L2" s="107" t="s">
        <v>15</v>
      </c>
      <c r="M2" s="107" t="s">
        <v>81</v>
      </c>
      <c r="N2" s="108" t="s">
        <v>15</v>
      </c>
      <c r="O2" s="109" t="s">
        <v>84</v>
      </c>
      <c r="P2" s="110" t="s">
        <v>15</v>
      </c>
      <c r="Q2" s="270"/>
      <c r="R2" s="255"/>
    </row>
    <row r="3" spans="1:32" ht="15" customHeight="1" x14ac:dyDescent="0.15">
      <c r="A3" s="271" t="s">
        <v>97</v>
      </c>
      <c r="B3" s="272"/>
      <c r="C3" s="235">
        <v>204</v>
      </c>
      <c r="D3" s="111">
        <v>1</v>
      </c>
      <c r="E3" s="82">
        <v>19002</v>
      </c>
      <c r="F3" s="87" t="s">
        <v>107</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238"/>
      <c r="B4" s="239"/>
      <c r="C4" s="236"/>
      <c r="D4" s="111">
        <f t="shared" ref="D4:D52" si="4">D3+1</f>
        <v>2</v>
      </c>
      <c r="E4" s="82">
        <v>19023</v>
      </c>
      <c r="F4" s="87" t="s">
        <v>117</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238"/>
      <c r="B5" s="239"/>
      <c r="C5" s="236"/>
      <c r="D5" s="111">
        <f t="shared" si="4"/>
        <v>3</v>
      </c>
      <c r="E5" s="82">
        <v>19028</v>
      </c>
      <c r="F5" s="87" t="s">
        <v>109</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238"/>
      <c r="B6" s="239"/>
      <c r="C6" s="236"/>
      <c r="D6" s="111">
        <f t="shared" si="4"/>
        <v>4</v>
      </c>
      <c r="E6" s="82">
        <v>19038</v>
      </c>
      <c r="F6" s="87" t="s">
        <v>110</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240"/>
      <c r="B7" s="241"/>
      <c r="C7" s="237"/>
      <c r="D7" s="111">
        <f t="shared" si="4"/>
        <v>5</v>
      </c>
      <c r="E7" s="82">
        <v>19041</v>
      </c>
      <c r="F7" s="87" t="s">
        <v>111</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238" t="s">
        <v>92</v>
      </c>
      <c r="B8" s="239"/>
      <c r="C8" s="235" t="str">
        <f ca="1">RIGHT(CELL("filename",A1),LEN(CELL("filename",A1))-FIND("]",CELL("filename",A1)))</f>
        <v>LHR</v>
      </c>
      <c r="D8" s="111">
        <f t="shared" si="4"/>
        <v>6</v>
      </c>
      <c r="E8" s="82">
        <v>19052</v>
      </c>
      <c r="F8" s="87" t="s">
        <v>112</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238"/>
      <c r="B9" s="239"/>
      <c r="C9" s="236"/>
      <c r="D9" s="111">
        <f t="shared" si="4"/>
        <v>7</v>
      </c>
      <c r="E9" s="82">
        <v>19059</v>
      </c>
      <c r="F9" s="87" t="s">
        <v>113</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238"/>
      <c r="B10" s="239"/>
      <c r="C10" s="236"/>
      <c r="D10" s="111">
        <f t="shared" si="4"/>
        <v>8</v>
      </c>
      <c r="E10" s="82">
        <v>19069</v>
      </c>
      <c r="F10" s="87" t="s">
        <v>114</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238"/>
      <c r="B11" s="239"/>
      <c r="C11" s="236"/>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240"/>
      <c r="B12" s="241"/>
      <c r="C12" s="237"/>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238" t="s">
        <v>19</v>
      </c>
      <c r="B13" s="239"/>
      <c r="C13" s="235">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238"/>
      <c r="B14" s="239"/>
      <c r="C14" s="236"/>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238"/>
      <c r="B15" s="239"/>
      <c r="C15" s="236"/>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238"/>
      <c r="B16" s="239"/>
      <c r="C16" s="236"/>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240"/>
      <c r="B17" s="241"/>
      <c r="C17" s="237"/>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242" t="s">
        <v>20</v>
      </c>
      <c r="B18" s="243"/>
      <c r="C18" s="251">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244"/>
      <c r="B19" s="245"/>
      <c r="C19" s="252"/>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244"/>
      <c r="B20" s="245"/>
      <c r="C20" s="252"/>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244"/>
      <c r="B21" s="245"/>
      <c r="C21" s="252"/>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246"/>
      <c r="B22" s="247"/>
      <c r="C22" s="253"/>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242" t="s">
        <v>91</v>
      </c>
      <c r="B23" s="243"/>
      <c r="C23" s="248"/>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244"/>
      <c r="B24" s="245"/>
      <c r="C24" s="249"/>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244"/>
      <c r="B25" s="245"/>
      <c r="C25" s="249"/>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244"/>
      <c r="B26" s="245"/>
      <c r="C26" s="249"/>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246"/>
      <c r="B27" s="247"/>
      <c r="C27" s="250"/>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242" t="s">
        <v>93</v>
      </c>
      <c r="B28" s="243"/>
      <c r="C28" s="248">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244"/>
      <c r="B29" s="245"/>
      <c r="C29" s="249"/>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244"/>
      <c r="B30" s="245"/>
      <c r="C30" s="249"/>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244"/>
      <c r="B31" s="245"/>
      <c r="C31" s="249"/>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246"/>
      <c r="B32" s="247"/>
      <c r="C32" s="250"/>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242" t="s">
        <v>94</v>
      </c>
      <c r="B33" s="243"/>
      <c r="C33" s="248">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244"/>
      <c r="B34" s="245"/>
      <c r="C34" s="249"/>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244"/>
      <c r="B35" s="245"/>
      <c r="C35" s="249"/>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244"/>
      <c r="B36" s="245"/>
      <c r="C36" s="249"/>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246"/>
      <c r="B37" s="247"/>
      <c r="C37" s="250"/>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242" t="s">
        <v>95</v>
      </c>
      <c r="B38" s="243"/>
      <c r="C38" s="248">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244"/>
      <c r="B39" s="245"/>
      <c r="C39" s="249"/>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244"/>
      <c r="B40" s="245"/>
      <c r="C40" s="249"/>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244"/>
      <c r="B41" s="245"/>
      <c r="C41" s="249"/>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246"/>
      <c r="B42" s="247"/>
      <c r="C42" s="250"/>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271" t="s">
        <v>21</v>
      </c>
      <c r="B43" s="278"/>
      <c r="C43" s="248"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238"/>
      <c r="B44" s="279"/>
      <c r="C44" s="249"/>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238"/>
      <c r="B45" s="279"/>
      <c r="C45" s="249"/>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238"/>
      <c r="B46" s="279"/>
      <c r="C46" s="249"/>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238"/>
      <c r="B47" s="279"/>
      <c r="C47" s="249"/>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238"/>
      <c r="B48" s="279"/>
      <c r="C48" s="249"/>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240"/>
      <c r="B49" s="280"/>
      <c r="C49" s="250"/>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281" t="s">
        <v>24</v>
      </c>
      <c r="B50" s="282"/>
      <c r="C50" s="249"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281"/>
      <c r="B51" s="282"/>
      <c r="C51" s="249"/>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281"/>
      <c r="B52" s="282"/>
      <c r="C52" s="249"/>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281"/>
      <c r="B53" s="282"/>
      <c r="C53" s="249"/>
      <c r="D53" s="276" t="s">
        <v>25</v>
      </c>
      <c r="E53" s="276"/>
      <c r="F53" s="276"/>
      <c r="G53" s="163"/>
      <c r="H53" s="163"/>
      <c r="I53" s="163"/>
      <c r="J53" s="163"/>
      <c r="K53" s="163"/>
      <c r="L53" s="163"/>
      <c r="M53" s="163"/>
      <c r="N53" s="163"/>
      <c r="O53" s="114"/>
      <c r="P53" s="114"/>
      <c r="Q53" s="163"/>
      <c r="R53" s="115"/>
    </row>
    <row r="54" spans="1:18" ht="12" customHeight="1" x14ac:dyDescent="0.15">
      <c r="A54" s="281"/>
      <c r="B54" s="282"/>
      <c r="C54" s="249"/>
      <c r="D54" s="277"/>
      <c r="E54" s="277"/>
      <c r="F54" s="277"/>
      <c r="G54" s="164"/>
      <c r="H54" s="164"/>
      <c r="I54" s="164"/>
      <c r="J54" s="164"/>
      <c r="K54" s="164"/>
      <c r="L54" s="164"/>
      <c r="M54" s="164"/>
      <c r="N54" s="164"/>
      <c r="O54" s="164"/>
      <c r="P54" s="164"/>
      <c r="Q54" s="164"/>
      <c r="R54" s="117"/>
    </row>
    <row r="55" spans="1:18" ht="12" customHeight="1" x14ac:dyDescent="0.15">
      <c r="A55" s="281"/>
      <c r="B55" s="282"/>
      <c r="C55" s="249"/>
      <c r="D55" s="274" t="s">
        <v>26</v>
      </c>
      <c r="E55" s="274"/>
      <c r="F55" s="274"/>
      <c r="G55" s="161"/>
      <c r="H55" s="161"/>
      <c r="I55" s="161"/>
      <c r="J55" s="161"/>
      <c r="K55" s="161"/>
      <c r="L55" s="161"/>
      <c r="M55" s="161"/>
      <c r="N55" s="161"/>
      <c r="O55" s="114"/>
      <c r="P55" s="114"/>
      <c r="Q55" s="161"/>
      <c r="R55" s="119"/>
    </row>
    <row r="56" spans="1:18" ht="12" customHeight="1" thickBot="1" x14ac:dyDescent="0.2">
      <c r="A56" s="283"/>
      <c r="B56" s="284"/>
      <c r="C56" s="285"/>
      <c r="D56" s="275"/>
      <c r="E56" s="275"/>
      <c r="F56" s="275"/>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8"/>
  <sheetViews>
    <sheetView workbookViewId="0">
      <pane xSplit="2" topLeftCell="C1" activePane="topRight" state="frozen"/>
      <selection activeCell="D50" sqref="D50"/>
      <selection pane="topRight" activeCell="H11" sqref="H11"/>
    </sheetView>
  </sheetViews>
  <sheetFormatPr defaultRowHeight="13.5" x14ac:dyDescent="0.15"/>
  <cols>
    <col min="1" max="1" width="6.5" bestFit="1" customWidth="1"/>
    <col min="2" max="2" width="12.375" bestFit="1" customWidth="1"/>
    <col min="3" max="3" width="17.25" bestFit="1" customWidth="1"/>
    <col min="17" max="17" width="108.25" customWidth="1"/>
  </cols>
  <sheetData>
    <row r="1" spans="1:17" x14ac:dyDescent="0.15">
      <c r="I1">
        <v>1</v>
      </c>
      <c r="J1">
        <v>1</v>
      </c>
      <c r="K1">
        <v>1</v>
      </c>
      <c r="L1">
        <v>1</v>
      </c>
    </row>
    <row r="2" spans="1:17" ht="27" x14ac:dyDescent="0.15">
      <c r="A2" t="s">
        <v>98</v>
      </c>
      <c r="B2" t="s">
        <v>99</v>
      </c>
      <c r="C2" t="s">
        <v>100</v>
      </c>
      <c r="D2" t="str">
        <f ca="1">'ITP（ストラテジー）'!C8</f>
        <v>ITP（ストラテジー）</v>
      </c>
      <c r="E2" t="str">
        <f ca="1">'ITP（テクノロジー） '!C8</f>
        <v xml:space="preserve">ITP（テクノロジー） </v>
      </c>
      <c r="F2" s="136" t="str">
        <f ca="1">FP①!C8</f>
        <v>FP①</v>
      </c>
      <c r="G2" s="136" t="str">
        <f ca="1">プレゼンテーション!C8</f>
        <v>プレゼンテーション</v>
      </c>
      <c r="H2" s="136" t="s">
        <v>134</v>
      </c>
      <c r="I2" s="136"/>
      <c r="J2" s="136"/>
      <c r="K2" s="136"/>
      <c r="M2" s="136"/>
      <c r="N2" s="136"/>
      <c r="O2" s="136" t="s">
        <v>101</v>
      </c>
      <c r="P2" s="136" t="s">
        <v>102</v>
      </c>
      <c r="Q2" s="136" t="s">
        <v>103</v>
      </c>
    </row>
    <row r="3" spans="1:17" ht="27" x14ac:dyDescent="0.15">
      <c r="A3">
        <v>19002</v>
      </c>
      <c r="B3" t="s">
        <v>107</v>
      </c>
      <c r="C3" t="s">
        <v>118</v>
      </c>
      <c r="D3" s="140">
        <v>73</v>
      </c>
      <c r="E3" s="140">
        <v>81</v>
      </c>
      <c r="F3" s="140">
        <v>79</v>
      </c>
      <c r="G3" s="140">
        <v>100</v>
      </c>
      <c r="H3" s="140">
        <v>100</v>
      </c>
      <c r="I3">
        <f>IF(D3="","",IF(D3&gt;=90,4,IF(D3&gt;=80,3,IF(D3&gt;=60,2,IF(D3&gt;=44,1,0)))))</f>
        <v>2</v>
      </c>
      <c r="J3">
        <f t="shared" ref="J3:L10" si="0">IF(E3="","",IF(E3&gt;=90,4,IF(E3&gt;=80,3,IF(E3&gt;=60,2,IF(E3&gt;=44,1,0)))))</f>
        <v>3</v>
      </c>
      <c r="K3">
        <f t="shared" si="0"/>
        <v>2</v>
      </c>
      <c r="L3">
        <f t="shared" si="0"/>
        <v>4</v>
      </c>
      <c r="M3">
        <f t="shared" ref="M3:M10" si="1">$I$1*I3+$J$1*J3+$K$1*K3+$L$1*L3</f>
        <v>11</v>
      </c>
      <c r="N3">
        <f t="shared" ref="N3:N10" si="2">M3/4</f>
        <v>2.75</v>
      </c>
      <c r="O3">
        <v>0</v>
      </c>
      <c r="P3" s="144" t="s">
        <v>121</v>
      </c>
      <c r="Q3" s="136" t="s">
        <v>119</v>
      </c>
    </row>
    <row r="4" spans="1:17" ht="27" x14ac:dyDescent="0.15">
      <c r="A4">
        <v>19028</v>
      </c>
      <c r="B4" t="s">
        <v>109</v>
      </c>
      <c r="C4" t="s">
        <v>118</v>
      </c>
      <c r="D4" s="140">
        <v>78</v>
      </c>
      <c r="E4" s="140">
        <v>79</v>
      </c>
      <c r="F4" s="140">
        <v>75</v>
      </c>
      <c r="G4" s="140">
        <v>100</v>
      </c>
      <c r="H4" s="140">
        <v>100</v>
      </c>
      <c r="I4">
        <f t="shared" ref="I4:I10" si="3">IF(D4="","",IF(D4&gt;=90,4,IF(D4&gt;=80,3,IF(D4&gt;=60,2,IF(D4&gt;=44,1,0)))))</f>
        <v>2</v>
      </c>
      <c r="J4">
        <f t="shared" si="0"/>
        <v>2</v>
      </c>
      <c r="K4">
        <f t="shared" si="0"/>
        <v>2</v>
      </c>
      <c r="L4">
        <f t="shared" si="0"/>
        <v>4</v>
      </c>
      <c r="M4">
        <f t="shared" si="1"/>
        <v>10</v>
      </c>
      <c r="N4">
        <f t="shared" si="2"/>
        <v>2.5</v>
      </c>
      <c r="O4">
        <v>0</v>
      </c>
      <c r="P4" s="144" t="s">
        <v>123</v>
      </c>
      <c r="Q4" s="136" t="s">
        <v>120</v>
      </c>
    </row>
    <row r="5" spans="1:17" ht="40.5" x14ac:dyDescent="0.15">
      <c r="A5">
        <v>19069</v>
      </c>
      <c r="B5" t="s">
        <v>114</v>
      </c>
      <c r="C5" t="s">
        <v>118</v>
      </c>
      <c r="D5" s="140">
        <v>56</v>
      </c>
      <c r="E5" s="140">
        <v>84</v>
      </c>
      <c r="F5" s="140">
        <v>56</v>
      </c>
      <c r="G5" s="140">
        <v>99</v>
      </c>
      <c r="H5" s="140">
        <v>100</v>
      </c>
      <c r="I5">
        <f t="shared" si="3"/>
        <v>1</v>
      </c>
      <c r="J5">
        <f t="shared" si="0"/>
        <v>3</v>
      </c>
      <c r="K5">
        <f t="shared" si="0"/>
        <v>1</v>
      </c>
      <c r="L5">
        <f t="shared" si="0"/>
        <v>4</v>
      </c>
      <c r="M5">
        <f t="shared" si="1"/>
        <v>9</v>
      </c>
      <c r="N5">
        <f t="shared" si="2"/>
        <v>2.25</v>
      </c>
      <c r="O5">
        <v>9</v>
      </c>
      <c r="P5" s="144" t="s">
        <v>127</v>
      </c>
      <c r="Q5" s="136" t="s">
        <v>132</v>
      </c>
    </row>
    <row r="6" spans="1:17" ht="40.5" x14ac:dyDescent="0.15">
      <c r="A6">
        <v>19041</v>
      </c>
      <c r="B6" t="s">
        <v>111</v>
      </c>
      <c r="C6" t="s">
        <v>118</v>
      </c>
      <c r="D6" s="140">
        <v>64</v>
      </c>
      <c r="E6" s="140">
        <v>50</v>
      </c>
      <c r="F6" s="140">
        <v>45</v>
      </c>
      <c r="G6" s="140">
        <v>85</v>
      </c>
      <c r="H6" s="140">
        <v>48</v>
      </c>
      <c r="I6">
        <f t="shared" si="3"/>
        <v>2</v>
      </c>
      <c r="J6">
        <f t="shared" si="0"/>
        <v>1</v>
      </c>
      <c r="K6">
        <f t="shared" si="0"/>
        <v>1</v>
      </c>
      <c r="L6">
        <f t="shared" si="0"/>
        <v>3</v>
      </c>
      <c r="M6">
        <f t="shared" si="1"/>
        <v>7</v>
      </c>
      <c r="N6">
        <f t="shared" si="2"/>
        <v>1.75</v>
      </c>
      <c r="O6">
        <v>35</v>
      </c>
      <c r="P6" s="144" t="s">
        <v>125</v>
      </c>
      <c r="Q6" s="136" t="s">
        <v>133</v>
      </c>
    </row>
    <row r="7" spans="1:17" ht="40.5" x14ac:dyDescent="0.15">
      <c r="A7">
        <v>19038</v>
      </c>
      <c r="B7" t="s">
        <v>110</v>
      </c>
      <c r="C7" t="s">
        <v>118</v>
      </c>
      <c r="D7" s="140">
        <v>70</v>
      </c>
      <c r="E7" s="140">
        <v>45</v>
      </c>
      <c r="F7" s="140">
        <v>69</v>
      </c>
      <c r="G7" s="140">
        <v>62</v>
      </c>
      <c r="H7" s="140">
        <v>97</v>
      </c>
      <c r="I7">
        <f t="shared" si="3"/>
        <v>2</v>
      </c>
      <c r="J7">
        <f t="shared" si="0"/>
        <v>1</v>
      </c>
      <c r="K7">
        <f t="shared" si="0"/>
        <v>2</v>
      </c>
      <c r="L7">
        <f t="shared" si="0"/>
        <v>2</v>
      </c>
      <c r="M7">
        <f t="shared" si="1"/>
        <v>7</v>
      </c>
      <c r="N7">
        <f t="shared" si="2"/>
        <v>1.75</v>
      </c>
      <c r="O7">
        <v>0</v>
      </c>
      <c r="P7" s="143" t="s">
        <v>124</v>
      </c>
      <c r="Q7" s="136" t="s">
        <v>129</v>
      </c>
    </row>
    <row r="8" spans="1:17" ht="40.5" x14ac:dyDescent="0.15">
      <c r="A8">
        <v>19023</v>
      </c>
      <c r="B8" t="s">
        <v>108</v>
      </c>
      <c r="C8" t="s">
        <v>118</v>
      </c>
      <c r="D8" s="140">
        <v>44</v>
      </c>
      <c r="E8" s="140">
        <v>44</v>
      </c>
      <c r="F8" s="140">
        <v>44</v>
      </c>
      <c r="G8" s="140">
        <v>44</v>
      </c>
      <c r="H8" s="140">
        <v>43</v>
      </c>
      <c r="I8">
        <f t="shared" si="3"/>
        <v>1</v>
      </c>
      <c r="J8">
        <f t="shared" si="0"/>
        <v>1</v>
      </c>
      <c r="K8">
        <f t="shared" si="0"/>
        <v>1</v>
      </c>
      <c r="L8">
        <f t="shared" si="0"/>
        <v>1</v>
      </c>
      <c r="M8">
        <f t="shared" si="1"/>
        <v>4</v>
      </c>
      <c r="N8">
        <f t="shared" si="2"/>
        <v>1</v>
      </c>
      <c r="O8">
        <v>10</v>
      </c>
      <c r="P8" s="144" t="s">
        <v>122</v>
      </c>
      <c r="Q8" s="136" t="s">
        <v>128</v>
      </c>
    </row>
    <row r="9" spans="1:17" ht="40.5" x14ac:dyDescent="0.15">
      <c r="A9">
        <v>19052</v>
      </c>
      <c r="B9" t="s">
        <v>112</v>
      </c>
      <c r="C9" t="s">
        <v>118</v>
      </c>
      <c r="D9" s="140">
        <v>44</v>
      </c>
      <c r="E9" s="140">
        <v>44</v>
      </c>
      <c r="F9" s="140">
        <v>53</v>
      </c>
      <c r="G9" s="140">
        <v>44</v>
      </c>
      <c r="H9" s="140">
        <v>42</v>
      </c>
      <c r="I9">
        <f t="shared" si="3"/>
        <v>1</v>
      </c>
      <c r="J9">
        <f t="shared" si="0"/>
        <v>1</v>
      </c>
      <c r="K9">
        <f t="shared" si="0"/>
        <v>1</v>
      </c>
      <c r="L9">
        <f t="shared" si="0"/>
        <v>1</v>
      </c>
      <c r="M9">
        <f t="shared" si="1"/>
        <v>4</v>
      </c>
      <c r="N9">
        <f t="shared" si="2"/>
        <v>1</v>
      </c>
      <c r="O9">
        <v>20</v>
      </c>
      <c r="P9" s="144" t="s">
        <v>126</v>
      </c>
      <c r="Q9" s="136" t="s">
        <v>131</v>
      </c>
    </row>
    <row r="10" spans="1:17" ht="40.5" x14ac:dyDescent="0.15">
      <c r="A10">
        <v>19059</v>
      </c>
      <c r="B10" t="s">
        <v>113</v>
      </c>
      <c r="C10" t="s">
        <v>118</v>
      </c>
      <c r="D10" s="140">
        <v>45</v>
      </c>
      <c r="E10" s="140">
        <v>60</v>
      </c>
      <c r="F10" s="140">
        <v>61</v>
      </c>
      <c r="G10" s="140">
        <v>68</v>
      </c>
      <c r="H10" s="140">
        <v>48</v>
      </c>
      <c r="I10">
        <f t="shared" si="3"/>
        <v>1</v>
      </c>
      <c r="J10">
        <f t="shared" si="0"/>
        <v>2</v>
      </c>
      <c r="K10">
        <f t="shared" si="0"/>
        <v>2</v>
      </c>
      <c r="L10">
        <f t="shared" si="0"/>
        <v>2</v>
      </c>
      <c r="M10">
        <f t="shared" si="1"/>
        <v>7</v>
      </c>
      <c r="N10">
        <f t="shared" si="2"/>
        <v>1.75</v>
      </c>
      <c r="O10">
        <v>0</v>
      </c>
      <c r="P10" s="143" t="s">
        <v>124</v>
      </c>
      <c r="Q10" s="136" t="s">
        <v>130</v>
      </c>
    </row>
    <row r="11" spans="1:17" x14ac:dyDescent="0.15">
      <c r="P11" s="137"/>
    </row>
    <row r="12" spans="1:17" x14ac:dyDescent="0.15">
      <c r="P12" s="137"/>
      <c r="Q12" s="136"/>
    </row>
    <row r="13" spans="1:17" x14ac:dyDescent="0.15">
      <c r="P13" s="137"/>
    </row>
    <row r="14" spans="1:17" x14ac:dyDescent="0.15">
      <c r="P14" s="137"/>
    </row>
    <row r="15" spans="1:17" x14ac:dyDescent="0.15">
      <c r="P15" s="137"/>
    </row>
    <row r="16" spans="1:17" x14ac:dyDescent="0.15">
      <c r="P16" s="137"/>
    </row>
    <row r="17" spans="16:17" x14ac:dyDescent="0.15">
      <c r="P17" s="137"/>
    </row>
    <row r="18" spans="16:17" x14ac:dyDescent="0.15">
      <c r="P18" s="137"/>
    </row>
    <row r="19" spans="16:17" x14ac:dyDescent="0.15">
      <c r="P19" s="137"/>
    </row>
    <row r="20" spans="16:17" x14ac:dyDescent="0.15">
      <c r="P20" s="137"/>
    </row>
    <row r="21" spans="16:17" x14ac:dyDescent="0.15">
      <c r="P21" s="137"/>
      <c r="Q21" s="136"/>
    </row>
    <row r="22" spans="16:17" x14ac:dyDescent="0.15">
      <c r="P22" s="137"/>
      <c r="Q22" s="136"/>
    </row>
    <row r="23" spans="16:17" x14ac:dyDescent="0.15">
      <c r="P23" s="137"/>
    </row>
    <row r="24" spans="16:17" x14ac:dyDescent="0.15">
      <c r="P24" s="137"/>
      <c r="Q24" s="136"/>
    </row>
    <row r="25" spans="16:17" x14ac:dyDescent="0.15">
      <c r="P25" s="137"/>
    </row>
    <row r="26" spans="16:17" x14ac:dyDescent="0.15">
      <c r="P26" s="137"/>
    </row>
    <row r="27" spans="16:17" x14ac:dyDescent="0.15">
      <c r="P27" s="137"/>
    </row>
    <row r="28" spans="16:17" x14ac:dyDescent="0.15">
      <c r="P28" s="137"/>
    </row>
    <row r="29" spans="16:17" x14ac:dyDescent="0.15">
      <c r="P29" s="137"/>
    </row>
    <row r="30" spans="16:17" x14ac:dyDescent="0.15">
      <c r="P30" s="137"/>
    </row>
    <row r="31" spans="16:17" x14ac:dyDescent="0.15">
      <c r="P31" s="137"/>
      <c r="Q31" s="136"/>
    </row>
    <row r="32" spans="16:17" x14ac:dyDescent="0.15">
      <c r="P32" s="137"/>
      <c r="Q32" s="136"/>
    </row>
    <row r="33" spans="16:17" x14ac:dyDescent="0.15">
      <c r="P33" s="137"/>
    </row>
    <row r="34" spans="16:17" x14ac:dyDescent="0.15">
      <c r="P34" s="137"/>
      <c r="Q34" s="136"/>
    </row>
    <row r="35" spans="16:17" x14ac:dyDescent="0.15">
      <c r="P35" s="137"/>
    </row>
    <row r="36" spans="16:17" x14ac:dyDescent="0.15">
      <c r="P36" s="137"/>
      <c r="Q36" s="136"/>
    </row>
    <row r="37" spans="16:17" x14ac:dyDescent="0.15">
      <c r="P37" s="137"/>
      <c r="Q37" s="136"/>
    </row>
    <row r="38" spans="16:17" x14ac:dyDescent="0.15">
      <c r="P38" s="137"/>
      <c r="Q38" s="136"/>
    </row>
    <row r="39" spans="16:17" x14ac:dyDescent="0.15">
      <c r="P39" s="137"/>
      <c r="Q39" s="136"/>
    </row>
    <row r="40" spans="16:17" x14ac:dyDescent="0.15">
      <c r="P40" s="138"/>
    </row>
    <row r="41" spans="16:17" x14ac:dyDescent="0.15">
      <c r="P41" s="138"/>
    </row>
    <row r="42" spans="16:17" x14ac:dyDescent="0.15">
      <c r="P42" s="138"/>
    </row>
    <row r="43" spans="16:17" x14ac:dyDescent="0.15">
      <c r="P43" s="138"/>
    </row>
    <row r="44" spans="16:17" x14ac:dyDescent="0.15">
      <c r="P44" s="138"/>
    </row>
    <row r="45" spans="16:17" x14ac:dyDescent="0.15">
      <c r="P45" s="138"/>
    </row>
    <row r="46" spans="16:17" x14ac:dyDescent="0.15">
      <c r="P46" s="138"/>
    </row>
    <row r="47" spans="16:17" x14ac:dyDescent="0.15">
      <c r="P47" s="138"/>
    </row>
    <row r="48" spans="16:17" x14ac:dyDescent="0.15">
      <c r="P48" s="138"/>
    </row>
    <row r="49" spans="16:16" x14ac:dyDescent="0.15">
      <c r="P49" s="138"/>
    </row>
    <row r="50" spans="16:16" x14ac:dyDescent="0.15">
      <c r="P50" s="138"/>
    </row>
    <row r="51" spans="16:16" x14ac:dyDescent="0.15">
      <c r="P51" s="138"/>
    </row>
    <row r="52" spans="16:16" x14ac:dyDescent="0.15">
      <c r="P52" s="138"/>
    </row>
    <row r="53" spans="16:16" x14ac:dyDescent="0.15">
      <c r="P53" s="138"/>
    </row>
    <row r="54" spans="16:16" x14ac:dyDescent="0.15">
      <c r="P54" s="138"/>
    </row>
    <row r="55" spans="16:16" x14ac:dyDescent="0.15">
      <c r="P55" s="138"/>
    </row>
    <row r="56" spans="16:16" x14ac:dyDescent="0.15">
      <c r="P56" s="138"/>
    </row>
    <row r="57" spans="16:16" x14ac:dyDescent="0.15">
      <c r="P57" s="138"/>
    </row>
    <row r="58" spans="16:16" x14ac:dyDescent="0.15">
      <c r="P58" s="138"/>
    </row>
  </sheetData>
  <sortState ref="A3:Q10">
    <sortCondition descending="1" ref="N3:N10"/>
  </sortState>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13</vt:i4>
      </vt:variant>
    </vt:vector>
  </HeadingPairs>
  <TitlesOfParts>
    <vt:vector size="29" baseType="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集計表_給付奨学金</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'注意事項参考(旧フォーマット版）'!Print_Area</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2020-10-06T02:11:28Z</dcterms:modified>
</cp:coreProperties>
</file>