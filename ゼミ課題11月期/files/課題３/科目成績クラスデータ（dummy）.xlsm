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Documents\UiPath\ゼミ課題11月期\files\課題３\"/>
    </mc:Choice>
  </mc:AlternateContent>
  <bookViews>
    <workbookView xWindow="0" yWindow="0" windowWidth="24000" windowHeight="9510" tabRatio="800" activeTab="4"/>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7" i="71" l="1"/>
  <c r="AH106" i="71"/>
  <c r="AE106" i="71"/>
  <c r="AE107" i="71" s="1"/>
  <c r="AB106" i="71"/>
  <c r="AB107" i="71" s="1"/>
  <c r="Y106" i="71"/>
  <c r="Y107" i="71" s="1"/>
  <c r="AI105" i="71"/>
  <c r="AF105" i="71"/>
  <c r="AC105" i="71"/>
  <c r="Z105" i="71"/>
  <c r="AQ106" i="71"/>
  <c r="AQ107" i="71" s="1"/>
  <c r="AR105" i="71"/>
  <c r="AT107" i="71" l="1"/>
  <c r="S107" i="71"/>
  <c r="AT106" i="71"/>
  <c r="AN106" i="71"/>
  <c r="AN107" i="71" s="1"/>
  <c r="AK106" i="71"/>
  <c r="AK107" i="71" s="1"/>
  <c r="V106" i="71"/>
  <c r="V107" i="71" s="1"/>
  <c r="S106" i="71"/>
  <c r="P106" i="71"/>
  <c r="P107" i="71" s="1"/>
  <c r="M106" i="71"/>
  <c r="M107" i="71" s="1"/>
  <c r="J106" i="71"/>
  <c r="J107" i="71" s="1"/>
  <c r="G106" i="71"/>
  <c r="G107" i="71" s="1"/>
  <c r="D106" i="71"/>
  <c r="D107" i="71" s="1"/>
  <c r="AU105" i="71"/>
  <c r="AO105" i="71"/>
  <c r="AL105" i="71"/>
  <c r="W105" i="71"/>
  <c r="T105" i="71"/>
  <c r="Q105" i="71"/>
  <c r="N105" i="71"/>
  <c r="K105" i="71"/>
  <c r="H105" i="71"/>
  <c r="E105" i="71"/>
  <c r="AX104" i="71"/>
  <c r="BD103" i="71"/>
  <c r="B103" i="71"/>
  <c r="A103" i="71"/>
  <c r="BE102" i="71"/>
  <c r="BD102" i="71"/>
  <c r="BC102" i="71"/>
  <c r="AZ102" i="71"/>
  <c r="BB102" i="71" s="1"/>
  <c r="BF102" i="71" s="1"/>
  <c r="AW102" i="71"/>
  <c r="A102" i="71"/>
  <c r="BD101" i="71"/>
  <c r="B101" i="71"/>
  <c r="A101" i="71"/>
  <c r="BF100" i="71"/>
  <c r="BE100" i="71"/>
  <c r="BD100" i="71"/>
  <c r="BC100" i="71"/>
  <c r="BB100" i="71"/>
  <c r="AZ100" i="71"/>
  <c r="AW100" i="7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92" i="71"/>
  <c r="BD91" i="71"/>
  <c r="B91" i="71"/>
  <c r="A91" i="71"/>
  <c r="BE90" i="71"/>
  <c r="BD90" i="71"/>
  <c r="BC90" i="71"/>
  <c r="BB90" i="71"/>
  <c r="BF90" i="71" s="1"/>
  <c r="AZ90" i="71"/>
  <c r="AX90" i="71"/>
  <c r="AW90" i="71"/>
  <c r="A90" i="71"/>
  <c r="BD89" i="71"/>
  <c r="B89" i="71"/>
  <c r="A89" i="71"/>
  <c r="BE88" i="71"/>
  <c r="BD88" i="71"/>
  <c r="BC88" i="71"/>
  <c r="AZ88" i="71"/>
  <c r="BB88" i="71" s="1"/>
  <c r="BF88" i="71" s="1"/>
  <c r="AW88" i="7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78" i="71"/>
  <c r="BD77" i="71"/>
  <c r="B77" i="71"/>
  <c r="A77" i="71"/>
  <c r="BF76" i="71"/>
  <c r="BE76" i="71"/>
  <c r="BD76" i="71"/>
  <c r="BC76" i="71"/>
  <c r="BB76" i="71"/>
  <c r="AZ76" i="71"/>
  <c r="AW76" i="7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68" i="71"/>
  <c r="BD67" i="71"/>
  <c r="B67" i="71"/>
  <c r="A67" i="71"/>
  <c r="BE66" i="71"/>
  <c r="BD66" i="71"/>
  <c r="BC66" i="71"/>
  <c r="BB66" i="71"/>
  <c r="BF66" i="71" s="1"/>
  <c r="AZ66" i="71"/>
  <c r="AX66" i="71"/>
  <c r="AW66" i="71"/>
  <c r="A66" i="71"/>
  <c r="BD65" i="71"/>
  <c r="B65" i="71"/>
  <c r="A65" i="71"/>
  <c r="BE64" i="71"/>
  <c r="BD64" i="71"/>
  <c r="BC64" i="71"/>
  <c r="AZ64" i="71"/>
  <c r="BB64" i="71" s="1"/>
  <c r="BF64" i="71" s="1"/>
  <c r="AW64" i="7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54" i="71"/>
  <c r="BD53" i="71"/>
  <c r="B53" i="71"/>
  <c r="A53" i="71"/>
  <c r="BF52" i="71"/>
  <c r="BE52" i="71"/>
  <c r="BD52" i="71"/>
  <c r="BC52" i="71"/>
  <c r="BB52" i="71"/>
  <c r="AZ52" i="71"/>
  <c r="AW52" i="71"/>
  <c r="A52" i="71"/>
  <c r="BD51" i="71"/>
  <c r="B51" i="71"/>
  <c r="A51" i="71"/>
  <c r="BE50" i="71"/>
  <c r="BD50" i="71"/>
  <c r="BC50" i="71"/>
  <c r="AZ50" i="71"/>
  <c r="BB50" i="71" s="1"/>
  <c r="BF50" i="71" s="1"/>
  <c r="AW50" i="7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44" i="71"/>
  <c r="BD43" i="71"/>
  <c r="B43" i="71"/>
  <c r="A43" i="71"/>
  <c r="BE42" i="71"/>
  <c r="BD42" i="71"/>
  <c r="BC42" i="71"/>
  <c r="BB42" i="71"/>
  <c r="BF42" i="71" s="1"/>
  <c r="AZ42" i="71"/>
  <c r="AW42" i="71"/>
  <c r="A42" i="71"/>
  <c r="BD41" i="71"/>
  <c r="B41" i="71"/>
  <c r="A41" i="71"/>
  <c r="BE40" i="71"/>
  <c r="BD40" i="71"/>
  <c r="BC40" i="71"/>
  <c r="AZ40" i="71"/>
  <c r="BB40" i="71" s="1"/>
  <c r="BF40" i="71" s="1"/>
  <c r="AW40" i="7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30" i="71"/>
  <c r="BD29" i="71"/>
  <c r="B29" i="71"/>
  <c r="A29" i="71"/>
  <c r="BE28" i="71"/>
  <c r="BD28" i="71"/>
  <c r="BC28" i="71"/>
  <c r="BB28" i="71"/>
  <c r="BF28" i="71" s="1"/>
  <c r="AZ28" i="71"/>
  <c r="AW28" i="71"/>
  <c r="A28" i="71"/>
  <c r="BD27" i="71"/>
  <c r="B27" i="71"/>
  <c r="A27" i="71"/>
  <c r="BE26" i="71"/>
  <c r="BD26" i="71"/>
  <c r="BC26" i="71"/>
  <c r="AZ26" i="71"/>
  <c r="BB26" i="71" s="1"/>
  <c r="BF26" i="71" s="1"/>
  <c r="AW26" i="71"/>
  <c r="A26" i="71"/>
  <c r="BD25" i="71"/>
  <c r="B25" i="71"/>
  <c r="A25" i="71"/>
  <c r="BE24" i="71"/>
  <c r="BD24" i="71"/>
  <c r="BC24" i="71"/>
  <c r="AZ24" i="71"/>
  <c r="BB24" i="71" s="1"/>
  <c r="BF24" i="71" s="1"/>
  <c r="AW24" i="71"/>
  <c r="AX24" i="71" s="1"/>
  <c r="A24" i="71"/>
  <c r="BD23" i="71"/>
  <c r="BE22" i="71"/>
  <c r="BD22" i="71"/>
  <c r="BC22" i="71"/>
  <c r="AZ22" i="71"/>
  <c r="BB22" i="71" s="1"/>
  <c r="BF22" i="71" s="1"/>
  <c r="AW22" i="71"/>
  <c r="AX22" i="71" s="1"/>
  <c r="A22" i="71"/>
  <c r="BD21" i="71"/>
  <c r="BE20" i="71"/>
  <c r="BD20" i="71"/>
  <c r="BC20" i="71"/>
  <c r="AZ20" i="71"/>
  <c r="BB20" i="71" s="1"/>
  <c r="BF20" i="71" s="1"/>
  <c r="AW20" i="71"/>
  <c r="A20" i="71"/>
  <c r="BD19" i="71"/>
  <c r="BE18" i="71"/>
  <c r="BD18" i="71"/>
  <c r="BC18" i="71"/>
  <c r="BB18" i="71"/>
  <c r="BF18" i="71" s="1"/>
  <c r="AZ18" i="71"/>
  <c r="AW18" i="71"/>
  <c r="A18" i="71"/>
  <c r="BD17" i="71"/>
  <c r="BE16" i="71"/>
  <c r="BD16" i="71"/>
  <c r="BC16" i="71"/>
  <c r="AZ16" i="71"/>
  <c r="BB16" i="71" s="1"/>
  <c r="BF16" i="71" s="1"/>
  <c r="AW16" i="71"/>
  <c r="A16" i="71"/>
  <c r="BD15" i="71"/>
  <c r="BE14" i="71"/>
  <c r="BD14" i="71"/>
  <c r="BC14" i="71"/>
  <c r="AZ14" i="71"/>
  <c r="BB14" i="71" s="1"/>
  <c r="BF14" i="71" s="1"/>
  <c r="AW14" i="71"/>
  <c r="AX14" i="71" s="1"/>
  <c r="A14" i="71"/>
  <c r="BD13" i="71"/>
  <c r="BE12" i="71"/>
  <c r="BD12" i="71"/>
  <c r="BC12" i="71"/>
  <c r="AZ12" i="71"/>
  <c r="BB12" i="71" s="1"/>
  <c r="BF12" i="71" s="1"/>
  <c r="AW12" i="71"/>
  <c r="A12" i="71"/>
  <c r="BD11" i="71"/>
  <c r="BE10" i="71"/>
  <c r="BD10" i="71"/>
  <c r="BC10" i="71"/>
  <c r="AZ10" i="71"/>
  <c r="BB10" i="71" s="1"/>
  <c r="BF10" i="71" s="1"/>
  <c r="AW10" i="71"/>
  <c r="AX10" i="71" s="1"/>
  <c r="A10" i="71"/>
  <c r="BD9" i="71"/>
  <c r="BE8" i="71"/>
  <c r="BD8" i="71"/>
  <c r="BC8" i="71"/>
  <c r="BB8" i="71"/>
  <c r="BF8" i="71" s="1"/>
  <c r="AW8" i="71"/>
  <c r="A8" i="71"/>
  <c r="AW106" i="71" l="1"/>
  <c r="AW107" i="71" s="1"/>
  <c r="AY18" i="71"/>
  <c r="AY44" i="71"/>
  <c r="AY14" i="71"/>
  <c r="AY22" i="71"/>
  <c r="AY50" i="71"/>
  <c r="AY40" i="71"/>
  <c r="AY102" i="71"/>
  <c r="AX8" i="71"/>
  <c r="AY100" i="71"/>
  <c r="AY20" i="71"/>
  <c r="AY92" i="71"/>
  <c r="AY90" i="71"/>
  <c r="AY30" i="71"/>
  <c r="AY46" i="71"/>
  <c r="AY68" i="71"/>
  <c r="AY78" i="71"/>
  <c r="AY88" i="71"/>
  <c r="AY28" i="71"/>
  <c r="AY36" i="71"/>
  <c r="AY66" i="71"/>
  <c r="AY76" i="71"/>
  <c r="AY54" i="71"/>
  <c r="AY64" i="71"/>
  <c r="AY52" i="71"/>
  <c r="AY42"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AX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<sst xmlns="http://schemas.openxmlformats.org/spreadsheetml/2006/main" count="871" uniqueCount="183">
  <si>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</si>
  <si>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</si>
  <si>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</si>
  <si>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</si>
  <si>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</si>
  <si>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</si>
  <si>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</si>
  <si>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</si>
  <si>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</si>
  <si>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</si>
  <si>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</si>
  <si>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</si>
  <si>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</si>
  <si>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</si>
  <si>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</si>
  <si>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</si>
  <si>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</si>
  <si>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</si>
  <si>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</si>
  <si>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</si>
  <si>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</si>
  <si>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</si>
  <si>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</si>
  <si>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</si>
  <si>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</si>
  <si>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</si>
  <si>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</si>
  <si>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</si>
  <si>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</si>
  <si>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</si>
  <si>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</si>
  <si>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</si>
  <si>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</si>
  <si>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</si>
  <si>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</si>
  <si>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</si>
  <si>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</si>
  <si>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</si>
  <si>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</si>
  <si>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</si>
  <si>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</si>
  <si>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</si>
  <si>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</si>
  <si>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</si>
  <si>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</si>
  <si>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</si>
  <si>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</si>
  <si>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</si>
  <si>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</si>
  <si>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</si>
  <si>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</si>
  <si>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</si>
  <si>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</si>
  <si>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</si>
  <si>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</si>
  <si>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</si>
  <si>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</si>
  <si>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</si>
  <si>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</si>
  <si>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</si>
  <si>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</si>
  <si>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</si>
  <si>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</si>
  <si>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</si>
  <si>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</si>
  <si>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</si>
  <si>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</si>
  <si>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</si>
  <si>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</si>
  <si>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</si>
  <si>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</si>
  <si>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</si>
  <si>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</si>
  <si>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</si>
  <si>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</si>
  <si>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</si>
  <si>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</si>
  <si>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</si>
  <si>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</si>
  <si>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</si>
  <si>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</si>
  <si>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</si>
  <si>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</si>
  <si>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</si>
  <si>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</si>
  <si>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</si>
  <si>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</si>
  <si>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</si>
  <si>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</si>
  <si>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</si>
  <si>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</si>
  <si>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</si>
  <si>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</si>
  <si>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</si>
  <si>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</si>
  <si>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</si>
  <si>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</si>
  <si>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</si>
  <si>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</si>
  <si>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</si>
  <si>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</si>
  <si>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</si>
  <si>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</si>
  <si>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</si>
  <si>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</si>
  <si>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</si>
  <si>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</si>
  <si>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</si>
  <si>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</si>
  <si>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</si>
  <si>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</si>
  <si>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</si>
  <si>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</si>
  <si>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</si>
  <si>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</si>
  <si>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</si>
  <si>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</si>
  <si>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</si>
  <si>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</si>
  <si>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</si>
  <si>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</si>
  <si>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</si>
  <si>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</si>
  <si>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</si>
  <si>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</si>
  <si>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</si>
  <si>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</si>
  <si>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</si>
  <si>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</si>
  <si>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</si>
  <si>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</si>
  <si>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</si>
  <si>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</si>
  <si>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</si>
  <si>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</si>
  <si>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</si>
  <si>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</si>
  <si>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</si>
  <si>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</si>
  <si>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</si>
  <si>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</si>
  <si>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</si>
  <si>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</si>
  <si>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</si>
  <si>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</si>
  <si>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</si>
  <si>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</si>
  <si>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</si>
  <si>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</si>
  <si>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</si>
  <si>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</si>
  <si>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</si>
  <si>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</si>
  <si>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</si>
  <si>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</si>
  <si>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</si>
  <si>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</si>
  <si>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</si>
  <si>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</si>
  <si>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</si>
  <si>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</si>
  <si>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</si>
  <si>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</si>
  <si>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</si>
  <si>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</si>
  <si>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</si>
  <si>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</si>
  <si>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</si>
  <si>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</si>
  <si>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xxx</t>
    <phoneticPr fontId="3"/>
  </si>
  <si>
    <t>AQ9</t>
    <phoneticPr fontId="3"/>
  </si>
  <si>
    <t>ITP（ストラテジー）</t>
    <phoneticPr fontId="3"/>
  </si>
  <si>
    <t xml:space="preserve">ITP（テクノロジー） </t>
    <phoneticPr fontId="3"/>
  </si>
  <si>
    <t>FP①</t>
    <phoneticPr fontId="3"/>
  </si>
  <si>
    <t>プレゼンテーション</t>
    <phoneticPr fontId="3"/>
  </si>
  <si>
    <t>情報メディア学科</t>
    <phoneticPr fontId="3"/>
  </si>
  <si>
    <t>FP②</t>
    <phoneticPr fontId="3"/>
  </si>
  <si>
    <t>PowerPoint</t>
    <phoneticPr fontId="3"/>
  </si>
  <si>
    <t>WEBデザイン演習</t>
    <phoneticPr fontId="3"/>
  </si>
  <si>
    <t>RPA演習</t>
    <phoneticPr fontId="3"/>
  </si>
  <si>
    <t>キャリアプラン</t>
    <phoneticPr fontId="3"/>
  </si>
  <si>
    <t>ITP（マネージメント）</t>
    <phoneticPr fontId="3"/>
  </si>
  <si>
    <t>LHR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</si>
</sst>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0" fontId="45" fillId="61" borderId="14" xfId="0" applyFont="1" applyFill="1" applyBorder="1" applyAlignment="1">
      <alignment horizontal="center" vertical="center"/>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45" fillId="62" borderId="39" xfId="0" applyFont="1" applyFill="1" applyBorder="1" applyAlignment="1">
      <alignment horizontal="center" vertical="center"/>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62" borderId="58" xfId="0" applyFont="1" applyFill="1" applyBorder="1" applyAlignment="1">
      <alignment horizontal="center" vertical="center"/>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9" fillId="62" borderId="12" xfId="0" applyFont="1" applyFill="1" applyBorder="1" applyAlignment="1">
      <alignment horizontal="center" vertical="center" textRotation="255" wrapText="1"/>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9" fillId="62" borderId="43" xfId="0" applyFont="1" applyFill="1"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2" xfId="0" applyBorder="1" applyAlignment="1">
      <alignment horizontal="center" vertical="center" textRotation="255"/>
    </xf>
    <xf numFmtId="0" fontId="0" fillId="0" borderId="54"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textRotation="255"/>
    </xf>
    <xf numFmtId="0" fontId="0" fillId="0" borderId="13"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0" borderId="10" xfId="0" applyBorder="1" applyAlignment="1">
      <alignment vertical="center"/>
    </xf>
    <xf numFmtId="0" fontId="0" fillId="0" borderId="13" xfId="0"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176" fontId="0" fillId="0" borderId="19" xfId="0" applyNumberFormat="1" applyBorder="1" applyAlignment="1">
      <alignment vertical="center"/>
    </xf>
    <xf numFmtId="176" fontId="0" fillId="0" borderId="32"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36" xfId="0" applyBorder="1" applyAlignment="1">
      <alignment horizontal="center" vertical="center" textRotation="255"/>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0" borderId="26" xfId="0" applyBorder="1" applyAlignment="1">
      <alignment horizontal="center" vertical="center"/>
    </xf>
    <xf numFmtId="0" fontId="0" fillId="0" borderId="29"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0" borderId="23" xfId="0" applyBorder="1" applyAlignment="1">
      <alignment horizontal="center" vertical="center"/>
    </xf>
    <xf numFmtId="0" fontId="0" fillId="0" borderId="66" xfId="0" applyBorder="1" applyAlignment="1">
      <alignment horizontal="center" vertical="center"/>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81150" y="88900"/>
          <a:ext cx="3137388" cy="919529"/>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6" name="Line 59"/>
        <xdr:cNvSpPr>
          <a:spLocks noChangeShapeType="1"/>
        </xdr:cNvSpPr>
      </xdr:nvSpPr>
      <xdr:spPr bwMode="auto">
        <a:xfrm flipH="1">
          <a:off x="101030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7" name="Line 59"/>
        <xdr:cNvSpPr>
          <a:spLocks noChangeShapeType="1"/>
        </xdr:cNvSpPr>
      </xdr:nvSpPr>
      <xdr:spPr bwMode="auto">
        <a:xfrm flipH="1">
          <a:off x="10293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8" name="Line 59"/>
        <xdr:cNvSpPr>
          <a:spLocks noChangeShapeType="1"/>
        </xdr:cNvSpPr>
      </xdr:nvSpPr>
      <xdr:spPr bwMode="auto">
        <a:xfrm flipH="1">
          <a:off x="11055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79" name="Line 59"/>
        <xdr:cNvSpPr>
          <a:spLocks noChangeShapeType="1"/>
        </xdr:cNvSpPr>
      </xdr:nvSpPr>
      <xdr:spPr bwMode="auto">
        <a:xfrm flipH="1">
          <a:off x="12579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80" name="Line 59"/>
        <xdr:cNvSpPr>
          <a:spLocks noChangeShapeType="1"/>
        </xdr:cNvSpPr>
      </xdr:nvSpPr>
      <xdr:spPr bwMode="auto">
        <a:xfrm flipH="1">
          <a:off x="11817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view="pageBreakPreview" topLeftCell="B1" zoomScale="130" zoomScaleNormal="100" zoomScaleSheetLayoutView="130" workbookViewId="0">
      <selection activeCell="P10" sqref="P10:P11"/>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A1" s="168" t="s">
        <v>170</v>
      </c>
      <c r="BH1" s="169">
        <v>22</v>
      </c>
      <c r="BI1" s="169">
        <v>23</v>
      </c>
    </row>
    <row r="2" spans="1:66" ht="36" customHeight="1" x14ac:dyDescent="0.15"/>
    <row r="3" spans="1:66" ht="19.5" customHeight="1" x14ac:dyDescent="0.2">
      <c r="A3" s="292" t="s">
        <v>141</v>
      </c>
      <c r="B3" s="293"/>
      <c r="C3" s="293"/>
      <c r="D3" s="293"/>
      <c r="E3" s="293"/>
      <c r="F3" s="293"/>
      <c r="G3" s="293"/>
      <c r="H3" s="293"/>
      <c r="I3" s="293"/>
      <c r="J3" s="293"/>
      <c r="K3" s="293"/>
      <c r="L3" s="293"/>
      <c r="M3" s="293"/>
      <c r="N3" s="293"/>
      <c r="O3" s="293"/>
      <c r="P3" s="293"/>
      <c r="Q3" s="293"/>
      <c r="R3" s="293"/>
      <c r="S3" s="293"/>
      <c r="T3" s="293"/>
      <c r="U3" s="293"/>
      <c r="V3" s="293"/>
      <c r="W3" s="293"/>
      <c r="X3" s="293"/>
      <c r="Y3" s="293"/>
      <c r="Z3" s="293"/>
      <c r="AA3" s="293"/>
      <c r="AB3" s="293"/>
      <c r="AC3" s="293"/>
      <c r="AD3" s="293"/>
      <c r="AE3" s="293"/>
      <c r="AF3" s="293"/>
      <c r="AG3" s="293"/>
      <c r="AH3" s="293"/>
      <c r="AI3" s="293"/>
      <c r="AJ3" s="293"/>
      <c r="AK3" s="293"/>
      <c r="AL3" s="293"/>
      <c r="AM3" s="293"/>
      <c r="AN3" s="293"/>
      <c r="AO3" s="293"/>
      <c r="AP3" s="293"/>
      <c r="AQ3" s="293"/>
      <c r="AR3" s="293"/>
      <c r="AS3" s="293"/>
      <c r="AT3" s="293"/>
      <c r="AU3" s="293"/>
      <c r="AV3" s="293"/>
      <c r="AW3" s="293"/>
      <c r="AX3" s="293"/>
      <c r="AY3" s="293"/>
      <c r="AZ3" s="293"/>
      <c r="BA3" s="293"/>
      <c r="BB3" s="293"/>
      <c r="BC3" s="293"/>
      <c r="BD3" s="293"/>
      <c r="BE3" s="293"/>
    </row>
    <row r="4" spans="1:66" ht="17.25" customHeight="1" thickBot="1" x14ac:dyDescent="0.2">
      <c r="A4" s="294"/>
      <c r="B4" s="295"/>
      <c r="C4" s="295"/>
      <c r="D4" s="295"/>
      <c r="E4" s="295"/>
      <c r="F4" s="295"/>
      <c r="G4" s="295"/>
      <c r="H4" s="295"/>
      <c r="I4" s="295"/>
      <c r="J4" s="295"/>
      <c r="K4" s="295"/>
      <c r="L4" s="295"/>
      <c r="M4" s="295"/>
      <c r="N4" s="295"/>
      <c r="O4" s="295"/>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6"/>
      <c r="BA4" s="296"/>
      <c r="BB4" s="296"/>
      <c r="BC4" s="296"/>
      <c r="BD4" s="296"/>
      <c r="BE4" s="296"/>
      <c r="BG4" s="169" t="s">
        <v>142</v>
      </c>
    </row>
    <row r="5" spans="1:66" ht="11.25" customHeight="1" x14ac:dyDescent="0.15">
      <c r="A5" s="297" t="s">
        <v>98</v>
      </c>
      <c r="B5" s="300" t="s">
        <v>143</v>
      </c>
      <c r="C5" s="301"/>
      <c r="D5" s="287" t="s">
        <v>144</v>
      </c>
      <c r="E5" s="288"/>
      <c r="F5" s="288"/>
      <c r="G5" s="288"/>
      <c r="H5" s="288"/>
      <c r="I5" s="288"/>
      <c r="J5" s="288"/>
      <c r="K5" s="288"/>
      <c r="L5" s="288"/>
      <c r="M5" s="288"/>
      <c r="N5" s="288"/>
      <c r="O5" s="288"/>
      <c r="P5" s="288"/>
      <c r="Q5" s="288"/>
      <c r="R5" s="288"/>
      <c r="S5" s="288"/>
      <c r="T5" s="288"/>
      <c r="U5" s="288"/>
      <c r="V5" s="288"/>
      <c r="W5" s="288"/>
      <c r="X5" s="288"/>
      <c r="Y5" s="288"/>
      <c r="Z5" s="288"/>
      <c r="AA5" s="288"/>
      <c r="AB5" s="288"/>
      <c r="AC5" s="288"/>
      <c r="AD5" s="288"/>
      <c r="AE5" s="288"/>
      <c r="AF5" s="288"/>
      <c r="AG5" s="288"/>
      <c r="AH5" s="288"/>
      <c r="AI5" s="288"/>
      <c r="AJ5" s="288"/>
      <c r="AK5" s="288"/>
      <c r="AL5" s="288"/>
      <c r="AM5" s="288"/>
      <c r="AN5" s="288"/>
      <c r="AO5" s="288"/>
      <c r="AP5" s="288"/>
      <c r="AQ5" s="288"/>
      <c r="AR5" s="288"/>
      <c r="AS5" s="288"/>
      <c r="AT5" s="288"/>
      <c r="AU5" s="288"/>
      <c r="AV5" s="289"/>
      <c r="AW5" s="306" t="s">
        <v>145</v>
      </c>
      <c r="AX5" s="306"/>
      <c r="AY5" s="216"/>
      <c r="AZ5" s="307" t="s">
        <v>146</v>
      </c>
      <c r="BA5" s="308"/>
      <c r="BB5" s="308"/>
      <c r="BC5" s="308"/>
      <c r="BD5" s="308"/>
      <c r="BE5" s="309"/>
      <c r="BM5" s="169" t="s">
        <v>147</v>
      </c>
    </row>
    <row r="6" spans="1:66" ht="27" customHeight="1" x14ac:dyDescent="0.15">
      <c r="A6" s="298"/>
      <c r="B6" s="302"/>
      <c r="C6" s="303"/>
      <c r="D6" s="287" t="s">
        <v>171</v>
      </c>
      <c r="E6" s="288"/>
      <c r="F6" s="289"/>
      <c r="G6" s="287" t="s">
        <v>172</v>
      </c>
      <c r="H6" s="288"/>
      <c r="I6" s="289"/>
      <c r="J6" s="287" t="s">
        <v>173</v>
      </c>
      <c r="K6" s="288"/>
      <c r="L6" s="289"/>
      <c r="M6" s="287" t="s">
        <v>174</v>
      </c>
      <c r="N6" s="288"/>
      <c r="O6" s="289"/>
      <c r="P6" s="287" t="s">
        <v>175</v>
      </c>
      <c r="Q6" s="288"/>
      <c r="R6" s="289"/>
      <c r="S6" s="287" t="s">
        <v>176</v>
      </c>
      <c r="T6" s="288"/>
      <c r="U6" s="289"/>
      <c r="V6" s="287" t="s">
        <v>177</v>
      </c>
      <c r="W6" s="288"/>
      <c r="X6" s="289"/>
      <c r="Y6" s="287" t="s">
        <v>178</v>
      </c>
      <c r="Z6" s="288"/>
      <c r="AA6" s="289"/>
      <c r="AB6" s="287" t="s">
        <v>179</v>
      </c>
      <c r="AC6" s="288"/>
      <c r="AD6" s="289"/>
      <c r="AE6" s="287" t="s">
        <v>180</v>
      </c>
      <c r="AF6" s="288"/>
      <c r="AG6" s="289"/>
      <c r="AH6" s="287" t="s">
        <v>181</v>
      </c>
      <c r="AI6" s="288"/>
      <c r="AJ6" s="289"/>
      <c r="AK6" s="287" t="s">
        <v>182</v>
      </c>
      <c r="AL6" s="288"/>
      <c r="AM6" s="289"/>
      <c r="AN6" s="287" t="s">
        <v>169</v>
      </c>
      <c r="AO6" s="288"/>
      <c r="AP6" s="289"/>
      <c r="AQ6" s="287" t="s">
        <v>169</v>
      </c>
      <c r="AR6" s="288"/>
      <c r="AS6" s="289"/>
      <c r="AT6" s="287" t="s">
        <v>169</v>
      </c>
      <c r="AU6" s="288"/>
      <c r="AV6" s="289"/>
      <c r="AW6" s="282" t="s">
        <v>148</v>
      </c>
      <c r="AX6" s="282" t="s">
        <v>149</v>
      </c>
      <c r="AY6" s="283" t="s">
        <v>150</v>
      </c>
      <c r="AZ6" s="284" t="s">
        <v>151</v>
      </c>
      <c r="BA6" s="286" t="s">
        <v>152</v>
      </c>
      <c r="BB6" s="286" t="s">
        <v>153</v>
      </c>
      <c r="BC6" s="286" t="s">
        <v>154</v>
      </c>
      <c r="BD6" s="170" t="s">
        <v>155</v>
      </c>
      <c r="BE6" s="312" t="s">
        <v>102</v>
      </c>
      <c r="BG6" s="169" t="s">
        <v>156</v>
      </c>
      <c r="BM6" s="169" t="s">
        <v>157</v>
      </c>
    </row>
    <row r="7" spans="1:66" ht="25.5" customHeight="1" thickBot="1" x14ac:dyDescent="0.2">
      <c r="A7" s="299"/>
      <c r="B7" s="304"/>
      <c r="C7" s="305"/>
      <c r="D7" s="171" t="s">
        <v>33</v>
      </c>
      <c r="E7" s="310" t="s">
        <v>158</v>
      </c>
      <c r="F7" s="311"/>
      <c r="G7" s="171" t="s">
        <v>33</v>
      </c>
      <c r="H7" s="310" t="s">
        <v>158</v>
      </c>
      <c r="I7" s="311"/>
      <c r="J7" s="171" t="s">
        <v>33</v>
      </c>
      <c r="K7" s="310" t="s">
        <v>158</v>
      </c>
      <c r="L7" s="311"/>
      <c r="M7" s="171" t="s">
        <v>33</v>
      </c>
      <c r="N7" s="310" t="s">
        <v>158</v>
      </c>
      <c r="O7" s="311"/>
      <c r="P7" s="171" t="s">
        <v>33</v>
      </c>
      <c r="Q7" s="310" t="s">
        <v>158</v>
      </c>
      <c r="R7" s="311"/>
      <c r="S7" s="171" t="s">
        <v>33</v>
      </c>
      <c r="T7" s="310" t="s">
        <v>158</v>
      </c>
      <c r="U7" s="311"/>
      <c r="V7" s="171" t="s">
        <v>33</v>
      </c>
      <c r="W7" s="310" t="s">
        <v>158</v>
      </c>
      <c r="X7" s="311"/>
      <c r="Y7" s="209" t="s">
        <v>33</v>
      </c>
      <c r="Z7" s="310" t="s">
        <v>158</v>
      </c>
      <c r="AA7" s="311"/>
      <c r="AB7" s="209" t="s">
        <v>33</v>
      </c>
      <c r="AC7" s="310" t="s">
        <v>158</v>
      </c>
      <c r="AD7" s="311"/>
      <c r="AE7" s="209" t="s">
        <v>33</v>
      </c>
      <c r="AF7" s="310" t="s">
        <v>158</v>
      </c>
      <c r="AG7" s="311"/>
      <c r="AH7" s="209" t="s">
        <v>33</v>
      </c>
      <c r="AI7" s="310" t="s">
        <v>158</v>
      </c>
      <c r="AJ7" s="311"/>
      <c r="AK7" s="171" t="s">
        <v>33</v>
      </c>
      <c r="AL7" s="310" t="s">
        <v>158</v>
      </c>
      <c r="AM7" s="311"/>
      <c r="AN7" s="171" t="s">
        <v>33</v>
      </c>
      <c r="AO7" s="310" t="s">
        <v>158</v>
      </c>
      <c r="AP7" s="311"/>
      <c r="AQ7" s="209" t="s">
        <v>33</v>
      </c>
      <c r="AR7" s="310" t="s">
        <v>158</v>
      </c>
      <c r="AS7" s="311"/>
      <c r="AT7" s="171" t="s">
        <v>33</v>
      </c>
      <c r="AU7" s="310" t="s">
        <v>158</v>
      </c>
      <c r="AV7" s="311"/>
      <c r="AW7" s="282"/>
      <c r="AX7" s="282"/>
      <c r="AY7" s="283"/>
      <c r="AZ7" s="285"/>
      <c r="BA7" s="286"/>
      <c r="BB7" s="286"/>
      <c r="BC7" s="286"/>
      <c r="BD7" s="172" t="s">
        <v>159</v>
      </c>
      <c r="BE7" s="312"/>
      <c r="BG7" s="169" t="s">
        <v>160</v>
      </c>
      <c r="BH7" s="169" t="s">
        <v>161</v>
      </c>
      <c r="BI7" s="169" t="s">
        <v>162</v>
      </c>
      <c r="BJ7" s="169" t="s">
        <v>163</v>
      </c>
      <c r="BK7" s="169" t="s">
        <v>164</v>
      </c>
      <c r="BM7" s="169" t="s">
        <v>165</v>
      </c>
    </row>
    <row r="8" spans="1:66" ht="12.75" customHeight="1" x14ac:dyDescent="0.15">
      <c r="A8" s="173">
        <f>BL8</f>
        <v>1</v>
      </c>
      <c r="B8" s="174"/>
      <c r="C8" s="175"/>
      <c r="D8" s="258"/>
      <c r="E8" s="247"/>
      <c r="F8" s="248"/>
      <c r="G8" s="252"/>
      <c r="H8" s="247"/>
      <c r="I8" s="248"/>
      <c r="J8" s="258"/>
      <c r="K8" s="247"/>
      <c r="L8" s="248"/>
      <c r="M8" s="258"/>
      <c r="N8" s="247"/>
      <c r="O8" s="248"/>
      <c r="P8" s="252"/>
      <c r="Q8" s="247"/>
      <c r="R8" s="248"/>
      <c r="S8" s="252"/>
      <c r="T8" s="247"/>
      <c r="U8" s="248"/>
      <c r="V8" s="252"/>
      <c r="W8" s="247"/>
      <c r="X8" s="248"/>
      <c r="Y8" s="252"/>
      <c r="Z8" s="247"/>
      <c r="AA8" s="248"/>
      <c r="AB8" s="252"/>
      <c r="AC8" s="247"/>
      <c r="AD8" s="248"/>
      <c r="AE8" s="245"/>
      <c r="AF8" s="247"/>
      <c r="AG8" s="248"/>
      <c r="AH8" s="245"/>
      <c r="AI8" s="247"/>
      <c r="AJ8" s="248"/>
      <c r="AK8" s="252"/>
      <c r="AL8" s="247"/>
      <c r="AM8" s="248"/>
      <c r="AN8" s="252"/>
      <c r="AO8" s="247"/>
      <c r="AP8" s="248"/>
      <c r="AQ8" s="245"/>
      <c r="AR8" s="247"/>
      <c r="AS8" s="248"/>
      <c r="AT8" s="245"/>
      <c r="AU8" s="247"/>
      <c r="AV8" s="248"/>
      <c r="AW8" s="229">
        <f>SUM(D8,G8,J8,M8,P8,S8,V8,AK8,AN8,AT8)</f>
        <v>0</v>
      </c>
      <c r="AX8" s="231" t="str">
        <f>IF(AW8=0,"",AVERAGE(D8,G8,J8,M8,P8,S8,V8,AK8,AN8,AT8))</f>
        <v/>
      </c>
      <c r="AY8" s="249">
        <f>RANK(AW8,$AW$8:$AW$103,0)</f>
        <v>1</v>
      </c>
      <c r="AZ8" s="290"/>
      <c r="BA8" s="274">
        <v>0</v>
      </c>
      <c r="BB8" s="219">
        <f>AZ8-BA8</f>
        <v>0</v>
      </c>
      <c r="BC8" s="241">
        <f>BH8</f>
        <v>0</v>
      </c>
      <c r="BD8" s="176">
        <f>BJ8</f>
        <v>0</v>
      </c>
      <c r="BE8" s="221">
        <f>BG8</f>
        <v>0</v>
      </c>
      <c r="BF8" s="177">
        <f>BB8-(((BB8*4)*BE8)/4)</f>
        <v>0</v>
      </c>
      <c r="BG8" s="178"/>
      <c r="BH8" s="178"/>
      <c r="BI8" s="178"/>
      <c r="BJ8" s="178"/>
      <c r="BK8" s="178"/>
      <c r="BL8" s="169">
        <v>1</v>
      </c>
      <c r="BM8" s="82"/>
      <c r="BN8" s="179"/>
    </row>
    <row r="9" spans="1:66" ht="12.75" customHeight="1" thickBot="1" x14ac:dyDescent="0.2">
      <c r="A9" s="14">
        <v>0</v>
      </c>
      <c r="B9" s="180"/>
      <c r="C9" s="181"/>
      <c r="D9" s="259"/>
      <c r="E9" s="280"/>
      <c r="F9" s="281"/>
      <c r="G9" s="253"/>
      <c r="H9" s="280"/>
      <c r="I9" s="281"/>
      <c r="J9" s="259"/>
      <c r="K9" s="280"/>
      <c r="L9" s="281"/>
      <c r="M9" s="259"/>
      <c r="N9" s="280"/>
      <c r="O9" s="281"/>
      <c r="P9" s="253"/>
      <c r="Q9" s="280"/>
      <c r="R9" s="281"/>
      <c r="S9" s="253"/>
      <c r="T9" s="280"/>
      <c r="U9" s="281"/>
      <c r="V9" s="253"/>
      <c r="W9" s="280"/>
      <c r="X9" s="281"/>
      <c r="Y9" s="253"/>
      <c r="Z9" s="280"/>
      <c r="AA9" s="281"/>
      <c r="AB9" s="253"/>
      <c r="AC9" s="280"/>
      <c r="AD9" s="281"/>
      <c r="AE9" s="246"/>
      <c r="AF9" s="280"/>
      <c r="AG9" s="281"/>
      <c r="AH9" s="246"/>
      <c r="AI9" s="280"/>
      <c r="AJ9" s="281"/>
      <c r="AK9" s="253"/>
      <c r="AL9" s="280"/>
      <c r="AM9" s="281"/>
      <c r="AN9" s="253"/>
      <c r="AO9" s="280"/>
      <c r="AP9" s="281"/>
      <c r="AQ9" s="246"/>
      <c r="AR9" s="280"/>
      <c r="AS9" s="281"/>
      <c r="AT9" s="246"/>
      <c r="AU9" s="280"/>
      <c r="AV9" s="281"/>
      <c r="AW9" s="230"/>
      <c r="AX9" s="232"/>
      <c r="AY9" s="250"/>
      <c r="AZ9" s="291"/>
      <c r="BA9" s="275"/>
      <c r="BB9" s="220"/>
      <c r="BC9" s="242"/>
      <c r="BD9" s="182">
        <f>BI8</f>
        <v>0</v>
      </c>
      <c r="BE9" s="222"/>
      <c r="BF9" s="177"/>
      <c r="BG9" s="178"/>
      <c r="BH9" s="178"/>
      <c r="BI9" s="178"/>
      <c r="BJ9" s="178"/>
      <c r="BK9" s="178"/>
      <c r="BL9" s="169">
        <v>2</v>
      </c>
      <c r="BM9" s="82"/>
      <c r="BN9" s="179"/>
    </row>
    <row r="10" spans="1:66" ht="12.75" customHeight="1" x14ac:dyDescent="0.15">
      <c r="A10" s="173">
        <f>BL9</f>
        <v>2</v>
      </c>
      <c r="B10" s="174"/>
      <c r="C10" s="175"/>
      <c r="D10" s="260"/>
      <c r="E10" s="247"/>
      <c r="F10" s="248"/>
      <c r="G10" s="256"/>
      <c r="H10" s="247"/>
      <c r="I10" s="248"/>
      <c r="J10" s="252"/>
      <c r="K10" s="247"/>
      <c r="L10" s="248"/>
      <c r="M10" s="258"/>
      <c r="N10" s="247"/>
      <c r="O10" s="248"/>
      <c r="P10" s="258"/>
      <c r="Q10" s="247"/>
      <c r="R10" s="248"/>
      <c r="S10" s="252"/>
      <c r="T10" s="247"/>
      <c r="U10" s="248"/>
      <c r="V10" s="252"/>
      <c r="W10" s="247"/>
      <c r="X10" s="248"/>
      <c r="Y10" s="252"/>
      <c r="Z10" s="247"/>
      <c r="AA10" s="248"/>
      <c r="AB10" s="252"/>
      <c r="AC10" s="247"/>
      <c r="AD10" s="248"/>
      <c r="AE10" s="245"/>
      <c r="AF10" s="247"/>
      <c r="AG10" s="248"/>
      <c r="AH10" s="245"/>
      <c r="AI10" s="247"/>
      <c r="AJ10" s="248"/>
      <c r="AK10" s="252"/>
      <c r="AL10" s="247"/>
      <c r="AM10" s="248"/>
      <c r="AN10" s="252"/>
      <c r="AO10" s="247"/>
      <c r="AP10" s="248"/>
      <c r="AQ10" s="245"/>
      <c r="AR10" s="247"/>
      <c r="AS10" s="248"/>
      <c r="AT10" s="245"/>
      <c r="AU10" s="247"/>
      <c r="AV10" s="248"/>
      <c r="AW10" s="229">
        <f>SUM(D10,G10,J10,M10,P10,S10,V10,AK10,AN10,AT10)</f>
        <v>0</v>
      </c>
      <c r="AX10" s="231" t="str">
        <f>IF(AW10=0,"",AVERAGE(D10,G10,J10,M10,P10,S10,V10,AK10,AN10,AT10))</f>
        <v/>
      </c>
      <c r="AY10" s="249">
        <f>RANK(AW10,$AW$8:$AW$103,0)</f>
        <v>1</v>
      </c>
      <c r="AZ10" s="251">
        <f>$AZ$8</f>
        <v>0</v>
      </c>
      <c r="BA10" s="217">
        <v>0</v>
      </c>
      <c r="BB10" s="219">
        <f>AZ10-BA10</f>
        <v>0</v>
      </c>
      <c r="BC10" s="241">
        <f>BH9</f>
        <v>0</v>
      </c>
      <c r="BD10" s="176">
        <f>BJ9</f>
        <v>0</v>
      </c>
      <c r="BE10" s="221">
        <f>BG9</f>
        <v>0</v>
      </c>
      <c r="BF10" s="177">
        <f t="shared" ref="BF10:BF72" si="0">BB10-(((BB10*4)*BE10)/4)</f>
        <v>0</v>
      </c>
      <c r="BG10" s="178"/>
      <c r="BH10" s="178"/>
      <c r="BI10" s="178"/>
      <c r="BJ10" s="178"/>
      <c r="BK10" s="178"/>
      <c r="BL10" s="169">
        <v>3</v>
      </c>
      <c r="BM10" s="82"/>
      <c r="BN10" s="179"/>
    </row>
    <row r="11" spans="1:66" ht="12.75" customHeight="1" x14ac:dyDescent="0.15">
      <c r="A11" s="14">
        <v>0</v>
      </c>
      <c r="B11" s="180"/>
      <c r="C11" s="181"/>
      <c r="D11" s="261"/>
      <c r="E11" s="278"/>
      <c r="F11" s="279"/>
      <c r="G11" s="257"/>
      <c r="H11" s="278"/>
      <c r="I11" s="279"/>
      <c r="J11" s="253"/>
      <c r="K11" s="278"/>
      <c r="L11" s="279"/>
      <c r="M11" s="259"/>
      <c r="N11" s="278"/>
      <c r="O11" s="279"/>
      <c r="P11" s="259"/>
      <c r="Q11" s="278"/>
      <c r="R11" s="279"/>
      <c r="S11" s="253"/>
      <c r="T11" s="278"/>
      <c r="U11" s="279"/>
      <c r="V11" s="253"/>
      <c r="W11" s="278"/>
      <c r="X11" s="279"/>
      <c r="Y11" s="253"/>
      <c r="Z11" s="243"/>
      <c r="AA11" s="244"/>
      <c r="AB11" s="253"/>
      <c r="AC11" s="243"/>
      <c r="AD11" s="244"/>
      <c r="AE11" s="246"/>
      <c r="AF11" s="243"/>
      <c r="AG11" s="244"/>
      <c r="AH11" s="246"/>
      <c r="AI11" s="243"/>
      <c r="AJ11" s="244"/>
      <c r="AK11" s="253"/>
      <c r="AL11" s="243"/>
      <c r="AM11" s="244"/>
      <c r="AN11" s="253"/>
      <c r="AO11" s="243"/>
      <c r="AP11" s="244"/>
      <c r="AQ11" s="246"/>
      <c r="AR11" s="243"/>
      <c r="AS11" s="244"/>
      <c r="AT11" s="246"/>
      <c r="AU11" s="243"/>
      <c r="AV11" s="244"/>
      <c r="AW11" s="230"/>
      <c r="AX11" s="232"/>
      <c r="AY11" s="250"/>
      <c r="AZ11" s="236"/>
      <c r="BA11" s="218"/>
      <c r="BB11" s="220"/>
      <c r="BC11" s="242"/>
      <c r="BD11" s="182">
        <f>BI9</f>
        <v>0</v>
      </c>
      <c r="BE11" s="222"/>
      <c r="BF11" s="177"/>
      <c r="BG11" s="178"/>
      <c r="BH11" s="178"/>
      <c r="BI11" s="178"/>
      <c r="BJ11" s="178"/>
      <c r="BK11" s="178"/>
      <c r="BL11" s="169">
        <v>4</v>
      </c>
      <c r="BM11" s="82"/>
      <c r="BN11" s="179"/>
    </row>
    <row r="12" spans="1:66" ht="12.75" customHeight="1" x14ac:dyDescent="0.15">
      <c r="A12" s="173">
        <f>BL10</f>
        <v>3</v>
      </c>
      <c r="B12" s="174"/>
      <c r="C12" s="175"/>
      <c r="D12" s="260"/>
      <c r="E12" s="247"/>
      <c r="F12" s="248"/>
      <c r="G12" s="256"/>
      <c r="H12" s="247"/>
      <c r="I12" s="248"/>
      <c r="J12" s="276"/>
      <c r="K12" s="247"/>
      <c r="L12" s="248"/>
      <c r="M12" s="258"/>
      <c r="N12" s="247"/>
      <c r="O12" s="248"/>
      <c r="P12" s="252"/>
      <c r="Q12" s="247"/>
      <c r="R12" s="248"/>
      <c r="S12" s="252"/>
      <c r="T12" s="247"/>
      <c r="U12" s="248"/>
      <c r="V12" s="252"/>
      <c r="W12" s="247"/>
      <c r="X12" s="248"/>
      <c r="Y12" s="252"/>
      <c r="Z12" s="247"/>
      <c r="AA12" s="248"/>
      <c r="AB12" s="252"/>
      <c r="AC12" s="247"/>
      <c r="AD12" s="248"/>
      <c r="AE12" s="245"/>
      <c r="AF12" s="247"/>
      <c r="AG12" s="248"/>
      <c r="AH12" s="245"/>
      <c r="AI12" s="247"/>
      <c r="AJ12" s="248"/>
      <c r="AK12" s="252"/>
      <c r="AL12" s="247"/>
      <c r="AM12" s="248"/>
      <c r="AN12" s="252"/>
      <c r="AO12" s="247"/>
      <c r="AP12" s="248"/>
      <c r="AQ12" s="245"/>
      <c r="AR12" s="247"/>
      <c r="AS12" s="248"/>
      <c r="AT12" s="245"/>
      <c r="AU12" s="247"/>
      <c r="AV12" s="248"/>
      <c r="AW12" s="229">
        <f>SUM(D12,G12,J12,M12,P12,S12,V12,AK12,AN12,AT12)</f>
        <v>0</v>
      </c>
      <c r="AX12" s="231" t="str">
        <f t="shared" ref="AX12" si="1">IF(AW12=0,"",AVERAGE(D12,G12,J12,M12,P12,S12,V12,AK12,AN12,AT12))</f>
        <v/>
      </c>
      <c r="AY12" s="249">
        <f>RANK(AW12,$AW$8:$AW$103,0)</f>
        <v>1</v>
      </c>
      <c r="AZ12" s="251">
        <f>$AZ$8</f>
        <v>0</v>
      </c>
      <c r="BA12" s="217">
        <v>0</v>
      </c>
      <c r="BB12" s="219">
        <f>AZ12-BA12</f>
        <v>0</v>
      </c>
      <c r="BC12" s="241">
        <f>BH10</f>
        <v>0</v>
      </c>
      <c r="BD12" s="176">
        <f>BJ10</f>
        <v>0</v>
      </c>
      <c r="BE12" s="221">
        <f>BG10</f>
        <v>0</v>
      </c>
      <c r="BF12" s="177">
        <f t="shared" si="0"/>
        <v>0</v>
      </c>
      <c r="BG12" s="178"/>
      <c r="BH12" s="178"/>
      <c r="BI12" s="178"/>
      <c r="BJ12" s="178"/>
      <c r="BK12" s="178"/>
      <c r="BL12" s="169">
        <v>5</v>
      </c>
      <c r="BM12" s="82"/>
      <c r="BN12" s="179"/>
    </row>
    <row r="13" spans="1:66" ht="12.75" customHeight="1" x14ac:dyDescent="0.15">
      <c r="A13" s="14">
        <v>0</v>
      </c>
      <c r="B13" s="180"/>
      <c r="C13" s="181"/>
      <c r="D13" s="261"/>
      <c r="E13" s="278"/>
      <c r="F13" s="279"/>
      <c r="G13" s="257"/>
      <c r="H13" s="278"/>
      <c r="I13" s="279"/>
      <c r="J13" s="277"/>
      <c r="K13" s="278"/>
      <c r="L13" s="279"/>
      <c r="M13" s="259"/>
      <c r="N13" s="278"/>
      <c r="O13" s="279"/>
      <c r="P13" s="253"/>
      <c r="Q13" s="278"/>
      <c r="R13" s="279"/>
      <c r="S13" s="253"/>
      <c r="T13" s="278"/>
      <c r="U13" s="279"/>
      <c r="V13" s="253"/>
      <c r="W13" s="278"/>
      <c r="X13" s="279"/>
      <c r="Y13" s="253"/>
      <c r="Z13" s="243"/>
      <c r="AA13" s="244"/>
      <c r="AB13" s="253"/>
      <c r="AC13" s="243"/>
      <c r="AD13" s="244"/>
      <c r="AE13" s="246"/>
      <c r="AF13" s="243"/>
      <c r="AG13" s="244"/>
      <c r="AH13" s="246"/>
      <c r="AI13" s="243"/>
      <c r="AJ13" s="244"/>
      <c r="AK13" s="253"/>
      <c r="AL13" s="243"/>
      <c r="AM13" s="244"/>
      <c r="AN13" s="253"/>
      <c r="AO13" s="243"/>
      <c r="AP13" s="244"/>
      <c r="AQ13" s="246"/>
      <c r="AR13" s="243"/>
      <c r="AS13" s="244"/>
      <c r="AT13" s="246"/>
      <c r="AU13" s="243"/>
      <c r="AV13" s="244"/>
      <c r="AW13" s="230"/>
      <c r="AX13" s="232"/>
      <c r="AY13" s="250"/>
      <c r="AZ13" s="236"/>
      <c r="BA13" s="218"/>
      <c r="BB13" s="220"/>
      <c r="BC13" s="242"/>
      <c r="BD13" s="182">
        <f>BI10</f>
        <v>0</v>
      </c>
      <c r="BE13" s="222"/>
      <c r="BF13" s="177"/>
      <c r="BG13" s="178"/>
      <c r="BH13" s="178"/>
      <c r="BI13" s="178"/>
      <c r="BJ13" s="178"/>
      <c r="BK13" s="178"/>
      <c r="BL13" s="169">
        <v>6</v>
      </c>
      <c r="BM13" s="82"/>
      <c r="BN13" s="179"/>
    </row>
    <row r="14" spans="1:66" ht="12.75" customHeight="1" x14ac:dyDescent="0.15">
      <c r="A14" s="173">
        <f>BL11</f>
        <v>4</v>
      </c>
      <c r="B14" s="174"/>
      <c r="C14" s="175"/>
      <c r="D14" s="260"/>
      <c r="E14" s="247"/>
      <c r="F14" s="248"/>
      <c r="G14" s="256"/>
      <c r="H14" s="247"/>
      <c r="I14" s="248"/>
      <c r="J14" s="258"/>
      <c r="K14" s="247"/>
      <c r="L14" s="248"/>
      <c r="M14" s="258"/>
      <c r="N14" s="247"/>
      <c r="O14" s="248"/>
      <c r="P14" s="258"/>
      <c r="Q14" s="247"/>
      <c r="R14" s="248"/>
      <c r="S14" s="252"/>
      <c r="T14" s="247"/>
      <c r="U14" s="248"/>
      <c r="V14" s="252"/>
      <c r="W14" s="247"/>
      <c r="X14" s="248"/>
      <c r="Y14" s="252"/>
      <c r="Z14" s="247"/>
      <c r="AA14" s="248"/>
      <c r="AB14" s="252"/>
      <c r="AC14" s="247"/>
      <c r="AD14" s="248"/>
      <c r="AE14" s="245"/>
      <c r="AF14" s="247"/>
      <c r="AG14" s="248"/>
      <c r="AH14" s="245"/>
      <c r="AI14" s="247"/>
      <c r="AJ14" s="248"/>
      <c r="AK14" s="252"/>
      <c r="AL14" s="247"/>
      <c r="AM14" s="248"/>
      <c r="AN14" s="252"/>
      <c r="AO14" s="247"/>
      <c r="AP14" s="248"/>
      <c r="AQ14" s="245"/>
      <c r="AR14" s="247"/>
      <c r="AS14" s="248"/>
      <c r="AT14" s="245"/>
      <c r="AU14" s="247"/>
      <c r="AV14" s="248"/>
      <c r="AW14" s="229">
        <f>SUM(D14,G14,J14,M14,P14,S14,V14,AK14,AN14,AT14)</f>
        <v>0</v>
      </c>
      <c r="AX14" s="231" t="str">
        <f t="shared" ref="AX14" si="2">IF(AW14=0,"",AVERAGE(D14,G14,J14,M14,P14,S14,V14,AK14,AN14,AT14))</f>
        <v/>
      </c>
      <c r="AY14" s="249">
        <f>RANK(AW14,$AW$8:$AW$103,0)</f>
        <v>1</v>
      </c>
      <c r="AZ14" s="251">
        <f>$AZ$8</f>
        <v>0</v>
      </c>
      <c r="BA14" s="217">
        <v>0</v>
      </c>
      <c r="BB14" s="219">
        <f>AZ14-BA14</f>
        <v>0</v>
      </c>
      <c r="BC14" s="241">
        <f>BH11</f>
        <v>0</v>
      </c>
      <c r="BD14" s="176">
        <f>BJ11</f>
        <v>0</v>
      </c>
      <c r="BE14" s="221">
        <f>BG11</f>
        <v>0</v>
      </c>
      <c r="BF14" s="177">
        <f t="shared" si="0"/>
        <v>0</v>
      </c>
      <c r="BG14" s="178"/>
      <c r="BH14" s="178"/>
      <c r="BI14" s="178"/>
      <c r="BJ14" s="178"/>
      <c r="BK14" s="178"/>
      <c r="BL14" s="169">
        <v>7</v>
      </c>
      <c r="BM14" s="82"/>
      <c r="BN14" s="179"/>
    </row>
    <row r="15" spans="1:66" ht="12.75" customHeight="1" x14ac:dyDescent="0.15">
      <c r="A15" s="14">
        <v>0</v>
      </c>
      <c r="B15" s="180"/>
      <c r="C15" s="181"/>
      <c r="D15" s="261"/>
      <c r="E15" s="243"/>
      <c r="F15" s="244"/>
      <c r="G15" s="257"/>
      <c r="H15" s="243"/>
      <c r="I15" s="244"/>
      <c r="J15" s="259"/>
      <c r="K15" s="243"/>
      <c r="L15" s="244"/>
      <c r="M15" s="259"/>
      <c r="N15" s="243"/>
      <c r="O15" s="244"/>
      <c r="P15" s="259"/>
      <c r="Q15" s="243"/>
      <c r="R15" s="244"/>
      <c r="S15" s="253"/>
      <c r="T15" s="243"/>
      <c r="U15" s="244"/>
      <c r="V15" s="253"/>
      <c r="W15" s="243"/>
      <c r="X15" s="244"/>
      <c r="Y15" s="253"/>
      <c r="Z15" s="243"/>
      <c r="AA15" s="244"/>
      <c r="AB15" s="253"/>
      <c r="AC15" s="243"/>
      <c r="AD15" s="244"/>
      <c r="AE15" s="246"/>
      <c r="AF15" s="243"/>
      <c r="AG15" s="244"/>
      <c r="AH15" s="246"/>
      <c r="AI15" s="243"/>
      <c r="AJ15" s="244"/>
      <c r="AK15" s="253"/>
      <c r="AL15" s="243"/>
      <c r="AM15" s="244"/>
      <c r="AN15" s="253"/>
      <c r="AO15" s="243"/>
      <c r="AP15" s="244"/>
      <c r="AQ15" s="246"/>
      <c r="AR15" s="243"/>
      <c r="AS15" s="244"/>
      <c r="AT15" s="246"/>
      <c r="AU15" s="243"/>
      <c r="AV15" s="244"/>
      <c r="AW15" s="230"/>
      <c r="AX15" s="232"/>
      <c r="AY15" s="250"/>
      <c r="AZ15" s="236"/>
      <c r="BA15" s="218"/>
      <c r="BB15" s="220"/>
      <c r="BC15" s="242"/>
      <c r="BD15" s="182">
        <f>BI11</f>
        <v>0</v>
      </c>
      <c r="BE15" s="222"/>
      <c r="BF15" s="177"/>
      <c r="BG15" s="178"/>
      <c r="BH15" s="178"/>
      <c r="BI15" s="178"/>
      <c r="BJ15" s="178"/>
      <c r="BK15" s="178"/>
      <c r="BL15" s="169">
        <v>8</v>
      </c>
      <c r="BM15" s="82"/>
      <c r="BN15" s="179"/>
    </row>
    <row r="16" spans="1:66" ht="12.75" customHeight="1" x14ac:dyDescent="0.15">
      <c r="A16" s="173">
        <f>BL12</f>
        <v>5</v>
      </c>
      <c r="B16" s="174"/>
      <c r="C16" s="175"/>
      <c r="D16" s="260"/>
      <c r="E16" s="247"/>
      <c r="F16" s="248"/>
      <c r="G16" s="256"/>
      <c r="H16" s="247"/>
      <c r="I16" s="248"/>
      <c r="J16" s="258"/>
      <c r="K16" s="247"/>
      <c r="L16" s="248"/>
      <c r="M16" s="258"/>
      <c r="N16" s="247"/>
      <c r="O16" s="248"/>
      <c r="P16" s="258"/>
      <c r="Q16" s="247"/>
      <c r="R16" s="248"/>
      <c r="S16" s="252"/>
      <c r="T16" s="247"/>
      <c r="U16" s="248"/>
      <c r="V16" s="252"/>
      <c r="W16" s="247"/>
      <c r="X16" s="248"/>
      <c r="Y16" s="252"/>
      <c r="Z16" s="247"/>
      <c r="AA16" s="248"/>
      <c r="AB16" s="252"/>
      <c r="AC16" s="247"/>
      <c r="AD16" s="248"/>
      <c r="AE16" s="245"/>
      <c r="AF16" s="247"/>
      <c r="AG16" s="248"/>
      <c r="AH16" s="245"/>
      <c r="AI16" s="247"/>
      <c r="AJ16" s="248"/>
      <c r="AK16" s="252"/>
      <c r="AL16" s="247"/>
      <c r="AM16" s="248"/>
      <c r="AN16" s="252"/>
      <c r="AO16" s="247"/>
      <c r="AP16" s="248"/>
      <c r="AQ16" s="245"/>
      <c r="AR16" s="247"/>
      <c r="AS16" s="248"/>
      <c r="AT16" s="245"/>
      <c r="AU16" s="247"/>
      <c r="AV16" s="248"/>
      <c r="AW16" s="229">
        <f>SUM(D16,G16,J16,M16,P16,S16,V16,AK16,AN16,AT16)</f>
        <v>0</v>
      </c>
      <c r="AX16" s="231" t="str">
        <f t="shared" ref="AX16" si="3">IF(AW16=0,"",AVERAGE(D16,G16,J16,M16,P16,S16,V16,AK16,AN16,AT16))</f>
        <v/>
      </c>
      <c r="AY16" s="249">
        <f>RANK(AW16,$AW$8:$AW$103,0)</f>
        <v>1</v>
      </c>
      <c r="AZ16" s="251">
        <f>$AZ$8</f>
        <v>0</v>
      </c>
      <c r="BA16" s="217">
        <v>0</v>
      </c>
      <c r="BB16" s="219">
        <f>AZ16-BA16</f>
        <v>0</v>
      </c>
      <c r="BC16" s="241">
        <f>BH12</f>
        <v>0</v>
      </c>
      <c r="BD16" s="176">
        <f>BJ12</f>
        <v>0</v>
      </c>
      <c r="BE16" s="221">
        <f>BG12</f>
        <v>0</v>
      </c>
      <c r="BF16" s="177">
        <f t="shared" si="0"/>
        <v>0</v>
      </c>
      <c r="BG16" s="178"/>
      <c r="BH16" s="178"/>
      <c r="BI16" s="178"/>
      <c r="BJ16" s="178"/>
      <c r="BK16" s="178"/>
      <c r="BL16" s="169">
        <v>9</v>
      </c>
      <c r="BM16" s="82"/>
      <c r="BN16" s="179"/>
    </row>
    <row r="17" spans="1:66" ht="12.75" customHeight="1" x14ac:dyDescent="0.15">
      <c r="A17" s="14">
        <v>0</v>
      </c>
      <c r="B17" s="180"/>
      <c r="C17" s="181"/>
      <c r="D17" s="261"/>
      <c r="E17" s="243"/>
      <c r="F17" s="244"/>
      <c r="G17" s="257"/>
      <c r="H17" s="243"/>
      <c r="I17" s="244"/>
      <c r="J17" s="259"/>
      <c r="K17" s="243"/>
      <c r="L17" s="244"/>
      <c r="M17" s="259"/>
      <c r="N17" s="243"/>
      <c r="O17" s="244"/>
      <c r="P17" s="259"/>
      <c r="Q17" s="243"/>
      <c r="R17" s="244"/>
      <c r="S17" s="253"/>
      <c r="T17" s="243"/>
      <c r="U17" s="244"/>
      <c r="V17" s="253"/>
      <c r="W17" s="243"/>
      <c r="X17" s="244"/>
      <c r="Y17" s="253"/>
      <c r="Z17" s="243"/>
      <c r="AA17" s="244"/>
      <c r="AB17" s="253"/>
      <c r="AC17" s="243"/>
      <c r="AD17" s="244"/>
      <c r="AE17" s="246"/>
      <c r="AF17" s="243"/>
      <c r="AG17" s="244"/>
      <c r="AH17" s="246"/>
      <c r="AI17" s="243"/>
      <c r="AJ17" s="244"/>
      <c r="AK17" s="253"/>
      <c r="AL17" s="243"/>
      <c r="AM17" s="244"/>
      <c r="AN17" s="253"/>
      <c r="AO17" s="243"/>
      <c r="AP17" s="244"/>
      <c r="AQ17" s="246"/>
      <c r="AR17" s="243"/>
      <c r="AS17" s="244"/>
      <c r="AT17" s="246"/>
      <c r="AU17" s="243"/>
      <c r="AV17" s="244"/>
      <c r="AW17" s="230"/>
      <c r="AX17" s="232"/>
      <c r="AY17" s="250"/>
      <c r="AZ17" s="236"/>
      <c r="BA17" s="218"/>
      <c r="BB17" s="220"/>
      <c r="BC17" s="242"/>
      <c r="BD17" s="182">
        <f>BI12</f>
        <v>0</v>
      </c>
      <c r="BE17" s="222"/>
      <c r="BF17" s="177"/>
      <c r="BG17" s="178"/>
      <c r="BH17" s="178"/>
      <c r="BI17" s="178"/>
      <c r="BJ17" s="178"/>
      <c r="BK17" s="178"/>
      <c r="BL17" s="169">
        <v>10</v>
      </c>
      <c r="BM17" s="82"/>
      <c r="BN17" s="179"/>
    </row>
    <row r="18" spans="1:66" ht="12.75" customHeight="1" x14ac:dyDescent="0.15">
      <c r="A18" s="173">
        <f>BL13</f>
        <v>6</v>
      </c>
      <c r="B18" s="174"/>
      <c r="C18" s="175"/>
      <c r="D18" s="260"/>
      <c r="E18" s="247"/>
      <c r="F18" s="248"/>
      <c r="G18" s="256"/>
      <c r="H18" s="247"/>
      <c r="I18" s="248"/>
      <c r="J18" s="258"/>
      <c r="K18" s="247"/>
      <c r="L18" s="248"/>
      <c r="M18" s="258"/>
      <c r="N18" s="247"/>
      <c r="O18" s="248"/>
      <c r="P18" s="258"/>
      <c r="Q18" s="247"/>
      <c r="R18" s="248"/>
      <c r="S18" s="252"/>
      <c r="T18" s="247"/>
      <c r="U18" s="248"/>
      <c r="V18" s="252"/>
      <c r="W18" s="247"/>
      <c r="X18" s="248"/>
      <c r="Y18" s="252"/>
      <c r="Z18" s="247"/>
      <c r="AA18" s="248"/>
      <c r="AB18" s="252"/>
      <c r="AC18" s="247"/>
      <c r="AD18" s="248"/>
      <c r="AE18" s="245"/>
      <c r="AF18" s="247"/>
      <c r="AG18" s="248"/>
      <c r="AH18" s="245"/>
      <c r="AI18" s="247"/>
      <c r="AJ18" s="248"/>
      <c r="AK18" s="252"/>
      <c r="AL18" s="247"/>
      <c r="AM18" s="248"/>
      <c r="AN18" s="252"/>
      <c r="AO18" s="247"/>
      <c r="AP18" s="248"/>
      <c r="AQ18" s="245"/>
      <c r="AR18" s="247"/>
      <c r="AS18" s="248"/>
      <c r="AT18" s="245"/>
      <c r="AU18" s="247"/>
      <c r="AV18" s="248"/>
      <c r="AW18" s="229">
        <f>SUM(D18,G18,J18,M18,P18,S18,V18,AK18,AN18,AT18)</f>
        <v>0</v>
      </c>
      <c r="AX18" s="231" t="str">
        <f t="shared" ref="AX18" si="4">IF(AW18=0,"",AVERAGE(D18,G18,J18,M18,P18,S18,V18,AK18,AN18,AT18))</f>
        <v/>
      </c>
      <c r="AY18" s="249">
        <f>RANK(AW18,$AW$8:$AW$103,0)</f>
        <v>1</v>
      </c>
      <c r="AZ18" s="251">
        <f>$AZ$8</f>
        <v>0</v>
      </c>
      <c r="BA18" s="217">
        <v>0</v>
      </c>
      <c r="BB18" s="219">
        <f>AZ18-BA18</f>
        <v>0</v>
      </c>
      <c r="BC18" s="241">
        <f>BH13</f>
        <v>0</v>
      </c>
      <c r="BD18" s="176">
        <f>BJ13</f>
        <v>0</v>
      </c>
      <c r="BE18" s="221">
        <f>BG13</f>
        <v>0</v>
      </c>
      <c r="BF18" s="177">
        <f t="shared" si="0"/>
        <v>0</v>
      </c>
      <c r="BG18" s="178"/>
      <c r="BH18" s="178"/>
      <c r="BI18" s="178"/>
      <c r="BJ18" s="178"/>
      <c r="BK18" s="178"/>
      <c r="BL18" s="169">
        <v>11</v>
      </c>
      <c r="BM18" s="82"/>
      <c r="BN18" s="179"/>
    </row>
    <row r="19" spans="1:66" ht="12.75" customHeight="1" x14ac:dyDescent="0.15">
      <c r="A19" s="14">
        <v>0</v>
      </c>
      <c r="B19" s="180"/>
      <c r="C19" s="181"/>
      <c r="D19" s="261"/>
      <c r="E19" s="243"/>
      <c r="F19" s="244"/>
      <c r="G19" s="257"/>
      <c r="H19" s="243"/>
      <c r="I19" s="244"/>
      <c r="J19" s="259"/>
      <c r="K19" s="243"/>
      <c r="L19" s="244"/>
      <c r="M19" s="259"/>
      <c r="N19" s="243"/>
      <c r="O19" s="244"/>
      <c r="P19" s="259"/>
      <c r="Q19" s="243"/>
      <c r="R19" s="244"/>
      <c r="S19" s="253"/>
      <c r="T19" s="243"/>
      <c r="U19" s="244"/>
      <c r="V19" s="253"/>
      <c r="W19" s="243"/>
      <c r="X19" s="244"/>
      <c r="Y19" s="253"/>
      <c r="Z19" s="243"/>
      <c r="AA19" s="244"/>
      <c r="AB19" s="253"/>
      <c r="AC19" s="243"/>
      <c r="AD19" s="244"/>
      <c r="AE19" s="246"/>
      <c r="AF19" s="243"/>
      <c r="AG19" s="244"/>
      <c r="AH19" s="246"/>
      <c r="AI19" s="243"/>
      <c r="AJ19" s="244"/>
      <c r="AK19" s="253"/>
      <c r="AL19" s="243"/>
      <c r="AM19" s="244"/>
      <c r="AN19" s="253"/>
      <c r="AO19" s="243"/>
      <c r="AP19" s="244"/>
      <c r="AQ19" s="246"/>
      <c r="AR19" s="243"/>
      <c r="AS19" s="244"/>
      <c r="AT19" s="246"/>
      <c r="AU19" s="243"/>
      <c r="AV19" s="244"/>
      <c r="AW19" s="230"/>
      <c r="AX19" s="232"/>
      <c r="AY19" s="250"/>
      <c r="AZ19" s="236"/>
      <c r="BA19" s="218"/>
      <c r="BB19" s="220"/>
      <c r="BC19" s="242"/>
      <c r="BD19" s="182">
        <f>BI13</f>
        <v>0</v>
      </c>
      <c r="BE19" s="222"/>
      <c r="BF19" s="177"/>
      <c r="BG19" s="178"/>
      <c r="BH19" s="178"/>
      <c r="BI19" s="178"/>
      <c r="BJ19" s="178"/>
      <c r="BK19" s="178"/>
      <c r="BL19" s="169">
        <v>12</v>
      </c>
      <c r="BM19" s="82"/>
      <c r="BN19" s="179"/>
    </row>
    <row r="20" spans="1:66" ht="12.75" customHeight="1" x14ac:dyDescent="0.15">
      <c r="A20" s="173">
        <f>BL14</f>
        <v>7</v>
      </c>
      <c r="B20" s="174"/>
      <c r="C20" s="175"/>
      <c r="D20" s="260"/>
      <c r="E20" s="247"/>
      <c r="F20" s="248"/>
      <c r="G20" s="256"/>
      <c r="H20" s="247"/>
      <c r="I20" s="248"/>
      <c r="J20" s="276"/>
      <c r="K20" s="247"/>
      <c r="L20" s="248"/>
      <c r="M20" s="258"/>
      <c r="N20" s="247"/>
      <c r="O20" s="248"/>
      <c r="P20" s="276"/>
      <c r="Q20" s="247"/>
      <c r="R20" s="248"/>
      <c r="S20" s="252"/>
      <c r="T20" s="247"/>
      <c r="U20" s="248"/>
      <c r="V20" s="252"/>
      <c r="W20" s="247"/>
      <c r="X20" s="248"/>
      <c r="Y20" s="252"/>
      <c r="Z20" s="247"/>
      <c r="AA20" s="248"/>
      <c r="AB20" s="252"/>
      <c r="AC20" s="247"/>
      <c r="AD20" s="248"/>
      <c r="AE20" s="245"/>
      <c r="AF20" s="247"/>
      <c r="AG20" s="248"/>
      <c r="AH20" s="245"/>
      <c r="AI20" s="247"/>
      <c r="AJ20" s="248"/>
      <c r="AK20" s="252"/>
      <c r="AL20" s="247"/>
      <c r="AM20" s="248"/>
      <c r="AN20" s="252"/>
      <c r="AO20" s="247"/>
      <c r="AP20" s="248"/>
      <c r="AQ20" s="245"/>
      <c r="AR20" s="247"/>
      <c r="AS20" s="248"/>
      <c r="AT20" s="245"/>
      <c r="AU20" s="247"/>
      <c r="AV20" s="248"/>
      <c r="AW20" s="229">
        <f t="shared" ref="AW20" si="5">SUM(D20,G20,J20,M20,P20,S20,V20,AK20,AN20,AT20)</f>
        <v>0</v>
      </c>
      <c r="AX20" s="231" t="str">
        <f t="shared" ref="AX20" si="6">IF(AW20=0,"",AVERAGE(D20,G20,J20,M20,P20,S20,V20,AK20,AN20,AT20))</f>
        <v/>
      </c>
      <c r="AY20" s="249">
        <f t="shared" ref="AY20" si="7">RANK(AW20,$AW$8:$AW$103,0)</f>
        <v>1</v>
      </c>
      <c r="AZ20" s="251">
        <f t="shared" ref="AZ20" si="8">$AZ$8</f>
        <v>0</v>
      </c>
      <c r="BA20" s="217">
        <v>0</v>
      </c>
      <c r="BB20" s="219">
        <f t="shared" ref="BB20" si="9">AZ20-BA20</f>
        <v>0</v>
      </c>
      <c r="BC20" s="241">
        <f>BH14</f>
        <v>0</v>
      </c>
      <c r="BD20" s="176">
        <f>BJ14</f>
        <v>0</v>
      </c>
      <c r="BE20" s="221">
        <f>BG14</f>
        <v>0</v>
      </c>
      <c r="BF20" s="177">
        <f t="shared" si="0"/>
        <v>0</v>
      </c>
      <c r="BG20" s="178"/>
      <c r="BH20" s="178"/>
      <c r="BI20" s="178"/>
      <c r="BJ20" s="178"/>
      <c r="BK20" s="178"/>
      <c r="BL20" s="169">
        <v>13</v>
      </c>
      <c r="BM20" s="82"/>
      <c r="BN20" s="179"/>
    </row>
    <row r="21" spans="1:66" ht="12.75" customHeight="1" x14ac:dyDescent="0.15">
      <c r="A21" s="14">
        <v>0</v>
      </c>
      <c r="B21" s="180"/>
      <c r="C21" s="181"/>
      <c r="D21" s="261"/>
      <c r="E21" s="243"/>
      <c r="F21" s="244"/>
      <c r="G21" s="257"/>
      <c r="H21" s="243"/>
      <c r="I21" s="244"/>
      <c r="J21" s="277"/>
      <c r="K21" s="243"/>
      <c r="L21" s="244"/>
      <c r="M21" s="259"/>
      <c r="N21" s="243"/>
      <c r="O21" s="244"/>
      <c r="P21" s="277"/>
      <c r="Q21" s="243"/>
      <c r="R21" s="244"/>
      <c r="S21" s="253"/>
      <c r="T21" s="243"/>
      <c r="U21" s="244"/>
      <c r="V21" s="253"/>
      <c r="W21" s="243"/>
      <c r="X21" s="244"/>
      <c r="Y21" s="253"/>
      <c r="Z21" s="243"/>
      <c r="AA21" s="244"/>
      <c r="AB21" s="253"/>
      <c r="AC21" s="243"/>
      <c r="AD21" s="244"/>
      <c r="AE21" s="246"/>
      <c r="AF21" s="243"/>
      <c r="AG21" s="244"/>
      <c r="AH21" s="246"/>
      <c r="AI21" s="243"/>
      <c r="AJ21" s="244"/>
      <c r="AK21" s="253"/>
      <c r="AL21" s="243"/>
      <c r="AM21" s="244"/>
      <c r="AN21" s="253"/>
      <c r="AO21" s="243"/>
      <c r="AP21" s="244"/>
      <c r="AQ21" s="246"/>
      <c r="AR21" s="243"/>
      <c r="AS21" s="244"/>
      <c r="AT21" s="246"/>
      <c r="AU21" s="243"/>
      <c r="AV21" s="244"/>
      <c r="AW21" s="230"/>
      <c r="AX21" s="232"/>
      <c r="AY21" s="250"/>
      <c r="AZ21" s="236"/>
      <c r="BA21" s="218"/>
      <c r="BB21" s="220"/>
      <c r="BC21" s="242"/>
      <c r="BD21" s="182">
        <f>BI14</f>
        <v>0</v>
      </c>
      <c r="BE21" s="222"/>
      <c r="BF21" s="177"/>
      <c r="BG21" s="178"/>
      <c r="BH21" s="178"/>
      <c r="BI21" s="178"/>
      <c r="BJ21" s="178"/>
      <c r="BK21" s="178"/>
      <c r="BL21" s="169">
        <v>14</v>
      </c>
      <c r="BM21" s="82"/>
      <c r="BN21" s="179"/>
    </row>
    <row r="22" spans="1:66" ht="12.75" customHeight="1" x14ac:dyDescent="0.15">
      <c r="A22" s="173">
        <f>BL15</f>
        <v>8</v>
      </c>
      <c r="B22" s="174"/>
      <c r="C22" s="175"/>
      <c r="D22" s="260"/>
      <c r="E22" s="247"/>
      <c r="F22" s="248"/>
      <c r="G22" s="256"/>
      <c r="H22" s="247"/>
      <c r="I22" s="248"/>
      <c r="J22" s="258"/>
      <c r="K22" s="247"/>
      <c r="L22" s="248"/>
      <c r="M22" s="258"/>
      <c r="N22" s="247"/>
      <c r="O22" s="248"/>
      <c r="P22" s="258"/>
      <c r="Q22" s="247"/>
      <c r="R22" s="248"/>
      <c r="S22" s="252"/>
      <c r="T22" s="247"/>
      <c r="U22" s="248"/>
      <c r="V22" s="252"/>
      <c r="W22" s="247"/>
      <c r="X22" s="248"/>
      <c r="Y22" s="252"/>
      <c r="Z22" s="247"/>
      <c r="AA22" s="248"/>
      <c r="AB22" s="252"/>
      <c r="AC22" s="247"/>
      <c r="AD22" s="248"/>
      <c r="AE22" s="245"/>
      <c r="AF22" s="247"/>
      <c r="AG22" s="248"/>
      <c r="AH22" s="245"/>
      <c r="AI22" s="247"/>
      <c r="AJ22" s="248"/>
      <c r="AK22" s="252"/>
      <c r="AL22" s="247"/>
      <c r="AM22" s="248"/>
      <c r="AN22" s="252"/>
      <c r="AO22" s="247"/>
      <c r="AP22" s="248"/>
      <c r="AQ22" s="245"/>
      <c r="AR22" s="247"/>
      <c r="AS22" s="248"/>
      <c r="AT22" s="245"/>
      <c r="AU22" s="247"/>
      <c r="AV22" s="248"/>
      <c r="AW22" s="229">
        <f t="shared" ref="AW22" si="10">SUM(D22,G22,J22,M22,P22,S22,V22,AK22,AN22,AT22)</f>
        <v>0</v>
      </c>
      <c r="AX22" s="231" t="str">
        <f t="shared" ref="AX22" si="11">IF(AW22=0,"",AVERAGE(D22,G22,J22,M22,P22,S22,V22,AK22,AN22,AT22))</f>
        <v/>
      </c>
      <c r="AY22" s="249">
        <f t="shared" ref="AY22" si="12">RANK(AW22,$AW$8:$AW$103,0)</f>
        <v>1</v>
      </c>
      <c r="AZ22" s="251">
        <f t="shared" ref="AZ22" si="13">$AZ$8</f>
        <v>0</v>
      </c>
      <c r="BA22" s="217">
        <v>0</v>
      </c>
      <c r="BB22" s="219">
        <f t="shared" ref="BB22" si="14">AZ22-BA22</f>
        <v>0</v>
      </c>
      <c r="BC22" s="241">
        <f>BH15</f>
        <v>0</v>
      </c>
      <c r="BD22" s="176">
        <f>BJ15</f>
        <v>0</v>
      </c>
      <c r="BE22" s="221">
        <f>BG15</f>
        <v>0</v>
      </c>
      <c r="BF22" s="177">
        <f t="shared" si="0"/>
        <v>0</v>
      </c>
      <c r="BG22" s="178"/>
      <c r="BH22" s="178"/>
      <c r="BI22" s="178"/>
      <c r="BJ22" s="178"/>
      <c r="BK22" s="178"/>
      <c r="BL22" s="169">
        <v>15</v>
      </c>
      <c r="BM22" s="82"/>
      <c r="BN22" s="179"/>
    </row>
    <row r="23" spans="1:66" ht="12.75" customHeight="1" x14ac:dyDescent="0.15">
      <c r="A23" s="14">
        <v>0</v>
      </c>
      <c r="B23" s="180"/>
      <c r="C23" s="181"/>
      <c r="D23" s="261"/>
      <c r="E23" s="243"/>
      <c r="F23" s="244"/>
      <c r="G23" s="257"/>
      <c r="H23" s="243"/>
      <c r="I23" s="244"/>
      <c r="J23" s="259"/>
      <c r="K23" s="243"/>
      <c r="L23" s="244"/>
      <c r="M23" s="259"/>
      <c r="N23" s="243"/>
      <c r="O23" s="244"/>
      <c r="P23" s="259"/>
      <c r="Q23" s="243"/>
      <c r="R23" s="244"/>
      <c r="S23" s="253"/>
      <c r="T23" s="243"/>
      <c r="U23" s="244"/>
      <c r="V23" s="253"/>
      <c r="W23" s="243"/>
      <c r="X23" s="244"/>
      <c r="Y23" s="253"/>
      <c r="Z23" s="243"/>
      <c r="AA23" s="244"/>
      <c r="AB23" s="253"/>
      <c r="AC23" s="243"/>
      <c r="AD23" s="244"/>
      <c r="AE23" s="246"/>
      <c r="AF23" s="243"/>
      <c r="AG23" s="244"/>
      <c r="AH23" s="246"/>
      <c r="AI23" s="243"/>
      <c r="AJ23" s="244"/>
      <c r="AK23" s="253"/>
      <c r="AL23" s="243"/>
      <c r="AM23" s="244"/>
      <c r="AN23" s="253"/>
      <c r="AO23" s="243"/>
      <c r="AP23" s="244"/>
      <c r="AQ23" s="246"/>
      <c r="AR23" s="243"/>
      <c r="AS23" s="244"/>
      <c r="AT23" s="246"/>
      <c r="AU23" s="243"/>
      <c r="AV23" s="244"/>
      <c r="AW23" s="230"/>
      <c r="AX23" s="232"/>
      <c r="AY23" s="250"/>
      <c r="AZ23" s="236"/>
      <c r="BA23" s="218"/>
      <c r="BB23" s="220"/>
      <c r="BC23" s="242"/>
      <c r="BD23" s="182">
        <f>BI15</f>
        <v>0</v>
      </c>
      <c r="BE23" s="222"/>
      <c r="BF23" s="177"/>
      <c r="BG23" s="178"/>
      <c r="BH23" s="178"/>
      <c r="BI23" s="178"/>
      <c r="BJ23" s="178"/>
      <c r="BK23" s="178"/>
      <c r="BL23" s="169">
        <v>16</v>
      </c>
      <c r="BM23" s="82"/>
      <c r="BN23" s="179"/>
    </row>
    <row r="24" spans="1:66" ht="12.75" customHeight="1" x14ac:dyDescent="0.15">
      <c r="A24" s="173">
        <f>BL16</f>
        <v>9</v>
      </c>
      <c r="B24" s="174"/>
      <c r="C24" s="175"/>
      <c r="D24" s="260"/>
      <c r="E24" s="247"/>
      <c r="F24" s="248"/>
      <c r="G24" s="256"/>
      <c r="H24" s="247"/>
      <c r="I24" s="248"/>
      <c r="J24" s="258"/>
      <c r="K24" s="247"/>
      <c r="L24" s="248"/>
      <c r="M24" s="258"/>
      <c r="N24" s="247"/>
      <c r="O24" s="248"/>
      <c r="P24" s="258"/>
      <c r="Q24" s="247"/>
      <c r="R24" s="248"/>
      <c r="S24" s="252"/>
      <c r="T24" s="247"/>
      <c r="U24" s="248"/>
      <c r="V24" s="252"/>
      <c r="W24" s="247"/>
      <c r="X24" s="248"/>
      <c r="Y24" s="252"/>
      <c r="Z24" s="247"/>
      <c r="AA24" s="248"/>
      <c r="AB24" s="252"/>
      <c r="AC24" s="247"/>
      <c r="AD24" s="248"/>
      <c r="AE24" s="245"/>
      <c r="AF24" s="247"/>
      <c r="AG24" s="248"/>
      <c r="AH24" s="245"/>
      <c r="AI24" s="247"/>
      <c r="AJ24" s="248"/>
      <c r="AK24" s="252"/>
      <c r="AL24" s="247"/>
      <c r="AM24" s="248"/>
      <c r="AN24" s="252"/>
      <c r="AO24" s="247"/>
      <c r="AP24" s="248"/>
      <c r="AQ24" s="245"/>
      <c r="AR24" s="247"/>
      <c r="AS24" s="248"/>
      <c r="AT24" s="245"/>
      <c r="AU24" s="247"/>
      <c r="AV24" s="248"/>
      <c r="AW24" s="229">
        <f t="shared" ref="AW24" si="15">SUM(D24,G24,J24,M24,P24,S24,V24,AK24,AN24,AT24)</f>
        <v>0</v>
      </c>
      <c r="AX24" s="231" t="str">
        <f t="shared" ref="AX24" si="16">IF(AW24=0,"",AVERAGE(D24,G24,J24,M24,P24,S24,V24,AK24,AN24,AT24))</f>
        <v/>
      </c>
      <c r="AY24" s="249">
        <f t="shared" ref="AY24" si="17">RANK(AW24,$AW$8:$AW$103,0)</f>
        <v>1</v>
      </c>
      <c r="AZ24" s="251">
        <f t="shared" ref="AZ24" si="18">$AZ$8</f>
        <v>0</v>
      </c>
      <c r="BA24" s="217">
        <v>0</v>
      </c>
      <c r="BB24" s="219">
        <f t="shared" ref="BB24" si="19">AZ24-BA24</f>
        <v>0</v>
      </c>
      <c r="BC24" s="241">
        <f>BH16</f>
        <v>0</v>
      </c>
      <c r="BD24" s="176">
        <f>BJ16</f>
        <v>0</v>
      </c>
      <c r="BE24" s="221">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61"/>
      <c r="E25" s="243"/>
      <c r="F25" s="244"/>
      <c r="G25" s="257"/>
      <c r="H25" s="243"/>
      <c r="I25" s="244"/>
      <c r="J25" s="259"/>
      <c r="K25" s="243"/>
      <c r="L25" s="244"/>
      <c r="M25" s="259"/>
      <c r="N25" s="243"/>
      <c r="O25" s="244"/>
      <c r="P25" s="259"/>
      <c r="Q25" s="243"/>
      <c r="R25" s="244"/>
      <c r="S25" s="253"/>
      <c r="T25" s="243"/>
      <c r="U25" s="244"/>
      <c r="V25" s="253"/>
      <c r="W25" s="243"/>
      <c r="X25" s="244"/>
      <c r="Y25" s="253"/>
      <c r="Z25" s="243"/>
      <c r="AA25" s="244"/>
      <c r="AB25" s="253"/>
      <c r="AC25" s="243"/>
      <c r="AD25" s="244"/>
      <c r="AE25" s="246"/>
      <c r="AF25" s="243"/>
      <c r="AG25" s="244"/>
      <c r="AH25" s="246"/>
      <c r="AI25" s="243"/>
      <c r="AJ25" s="244"/>
      <c r="AK25" s="253"/>
      <c r="AL25" s="243"/>
      <c r="AM25" s="244"/>
      <c r="AN25" s="253"/>
      <c r="AO25" s="243"/>
      <c r="AP25" s="244"/>
      <c r="AQ25" s="246"/>
      <c r="AR25" s="243"/>
      <c r="AS25" s="244"/>
      <c r="AT25" s="246"/>
      <c r="AU25" s="243"/>
      <c r="AV25" s="244"/>
      <c r="AW25" s="230"/>
      <c r="AX25" s="232"/>
      <c r="AY25" s="250"/>
      <c r="AZ25" s="236"/>
      <c r="BA25" s="218"/>
      <c r="BB25" s="220"/>
      <c r="BC25" s="242"/>
      <c r="BD25" s="182">
        <f>BI16</f>
        <v>0</v>
      </c>
      <c r="BE25" s="222"/>
      <c r="BF25" s="177"/>
      <c r="BG25" s="178"/>
      <c r="BH25" s="178"/>
      <c r="BI25" s="178"/>
      <c r="BJ25" s="178"/>
      <c r="BK25" s="178"/>
      <c r="BL25" s="169">
        <v>18</v>
      </c>
      <c r="BM25" s="82"/>
      <c r="BN25" s="179"/>
    </row>
    <row r="26" spans="1:66" ht="12.75" customHeight="1" x14ac:dyDescent="0.15">
      <c r="A26" s="173">
        <f>BL17</f>
        <v>10</v>
      </c>
      <c r="B26" s="174"/>
      <c r="C26" s="175"/>
      <c r="D26" s="260"/>
      <c r="E26" s="247"/>
      <c r="F26" s="248"/>
      <c r="G26" s="256"/>
      <c r="H26" s="247"/>
      <c r="I26" s="248"/>
      <c r="J26" s="258"/>
      <c r="K26" s="247"/>
      <c r="L26" s="248"/>
      <c r="M26" s="258"/>
      <c r="N26" s="247"/>
      <c r="O26" s="248"/>
      <c r="P26" s="258"/>
      <c r="Q26" s="247"/>
      <c r="R26" s="248"/>
      <c r="S26" s="252"/>
      <c r="T26" s="247"/>
      <c r="U26" s="248"/>
      <c r="V26" s="252"/>
      <c r="W26" s="247"/>
      <c r="X26" s="248"/>
      <c r="Y26" s="252"/>
      <c r="Z26" s="247"/>
      <c r="AA26" s="248"/>
      <c r="AB26" s="252"/>
      <c r="AC26" s="247"/>
      <c r="AD26" s="248"/>
      <c r="AE26" s="245"/>
      <c r="AF26" s="247"/>
      <c r="AG26" s="248"/>
      <c r="AH26" s="245"/>
      <c r="AI26" s="247"/>
      <c r="AJ26" s="248"/>
      <c r="AK26" s="252"/>
      <c r="AL26" s="247"/>
      <c r="AM26" s="248"/>
      <c r="AN26" s="252"/>
      <c r="AO26" s="247"/>
      <c r="AP26" s="248"/>
      <c r="AQ26" s="245"/>
      <c r="AR26" s="247"/>
      <c r="AS26" s="248"/>
      <c r="AT26" s="245"/>
      <c r="AU26" s="247"/>
      <c r="AV26" s="248"/>
      <c r="AW26" s="229">
        <f t="shared" ref="AW26" si="20">SUM(D26,G26,J26,M26,P26,S26,V26,AK26,AN26,AT26)</f>
        <v>0</v>
      </c>
      <c r="AX26" s="231" t="str">
        <f t="shared" ref="AX26" si="21">IF(AW26=0,"",AVERAGE(D26,G26,J26,M26,P26,S26,V26,AK26,AN26,AT26))</f>
        <v/>
      </c>
      <c r="AY26" s="249">
        <f t="shared" ref="AY26" si="22">RANK(AW26,$AW$8:$AW$103,0)</f>
        <v>1</v>
      </c>
      <c r="AZ26" s="251">
        <f t="shared" ref="AZ26" si="23">$AZ$8</f>
        <v>0</v>
      </c>
      <c r="BA26" s="217">
        <v>0</v>
      </c>
      <c r="BB26" s="219">
        <f t="shared" ref="BB26" si="24">AZ26-BA26</f>
        <v>0</v>
      </c>
      <c r="BC26" s="241">
        <f>BH17</f>
        <v>0</v>
      </c>
      <c r="BD26" s="176">
        <f>BJ17</f>
        <v>0</v>
      </c>
      <c r="BE26" s="221">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61"/>
      <c r="E27" s="243"/>
      <c r="F27" s="244"/>
      <c r="G27" s="257"/>
      <c r="H27" s="243"/>
      <c r="I27" s="244"/>
      <c r="J27" s="259"/>
      <c r="K27" s="243"/>
      <c r="L27" s="244"/>
      <c r="M27" s="259"/>
      <c r="N27" s="243"/>
      <c r="O27" s="244"/>
      <c r="P27" s="259"/>
      <c r="Q27" s="243"/>
      <c r="R27" s="244"/>
      <c r="S27" s="253"/>
      <c r="T27" s="243"/>
      <c r="U27" s="244"/>
      <c r="V27" s="253"/>
      <c r="W27" s="243"/>
      <c r="X27" s="244"/>
      <c r="Y27" s="253"/>
      <c r="Z27" s="243"/>
      <c r="AA27" s="244"/>
      <c r="AB27" s="253"/>
      <c r="AC27" s="243"/>
      <c r="AD27" s="244"/>
      <c r="AE27" s="246"/>
      <c r="AF27" s="243"/>
      <c r="AG27" s="244"/>
      <c r="AH27" s="246"/>
      <c r="AI27" s="243"/>
      <c r="AJ27" s="244"/>
      <c r="AK27" s="253"/>
      <c r="AL27" s="243"/>
      <c r="AM27" s="244"/>
      <c r="AN27" s="253"/>
      <c r="AO27" s="243"/>
      <c r="AP27" s="244"/>
      <c r="AQ27" s="246"/>
      <c r="AR27" s="243"/>
      <c r="AS27" s="244"/>
      <c r="AT27" s="246"/>
      <c r="AU27" s="243"/>
      <c r="AV27" s="244"/>
      <c r="AW27" s="230"/>
      <c r="AX27" s="232"/>
      <c r="AY27" s="250"/>
      <c r="AZ27" s="236"/>
      <c r="BA27" s="218"/>
      <c r="BB27" s="220"/>
      <c r="BC27" s="242"/>
      <c r="BD27" s="182">
        <f>BI17</f>
        <v>0</v>
      </c>
      <c r="BE27" s="222"/>
      <c r="BF27" s="177"/>
      <c r="BG27" s="178"/>
      <c r="BH27" s="178"/>
      <c r="BI27" s="178"/>
      <c r="BJ27" s="178"/>
      <c r="BK27" s="178"/>
      <c r="BL27" s="169">
        <v>20</v>
      </c>
      <c r="BM27" s="82"/>
      <c r="BN27" s="179"/>
    </row>
    <row r="28" spans="1:66" ht="12.75" customHeight="1" x14ac:dyDescent="0.15">
      <c r="A28" s="173">
        <f>BL18</f>
        <v>11</v>
      </c>
      <c r="B28" s="174"/>
      <c r="C28" s="175"/>
      <c r="D28" s="260"/>
      <c r="E28" s="247"/>
      <c r="F28" s="248"/>
      <c r="G28" s="256"/>
      <c r="H28" s="247"/>
      <c r="I28" s="248"/>
      <c r="J28" s="258"/>
      <c r="K28" s="247"/>
      <c r="L28" s="248"/>
      <c r="M28" s="258"/>
      <c r="N28" s="247"/>
      <c r="O28" s="248"/>
      <c r="P28" s="258"/>
      <c r="Q28" s="247"/>
      <c r="R28" s="248"/>
      <c r="S28" s="252"/>
      <c r="T28" s="247"/>
      <c r="U28" s="248"/>
      <c r="V28" s="252"/>
      <c r="W28" s="247"/>
      <c r="X28" s="248"/>
      <c r="Y28" s="252"/>
      <c r="Z28" s="247"/>
      <c r="AA28" s="248"/>
      <c r="AB28" s="252"/>
      <c r="AC28" s="247"/>
      <c r="AD28" s="248"/>
      <c r="AE28" s="245"/>
      <c r="AF28" s="247"/>
      <c r="AG28" s="248"/>
      <c r="AH28" s="245"/>
      <c r="AI28" s="247"/>
      <c r="AJ28" s="248"/>
      <c r="AK28" s="252"/>
      <c r="AL28" s="247"/>
      <c r="AM28" s="248"/>
      <c r="AN28" s="252"/>
      <c r="AO28" s="247"/>
      <c r="AP28" s="248"/>
      <c r="AQ28" s="245"/>
      <c r="AR28" s="247"/>
      <c r="AS28" s="248"/>
      <c r="AT28" s="245"/>
      <c r="AU28" s="247"/>
      <c r="AV28" s="248"/>
      <c r="AW28" s="229">
        <f t="shared" ref="AW28" si="25">SUM(D28,G28,J28,M28,P28,S28,V28,AK28,AN28,AT28)</f>
        <v>0</v>
      </c>
      <c r="AX28" s="231" t="str">
        <f t="shared" ref="AX28" si="26">IF(AW28=0,"",AVERAGE(D28,G28,J28,M28,P28,S28,V28,AK28,AN28,AT28))</f>
        <v/>
      </c>
      <c r="AY28" s="249">
        <f t="shared" ref="AY28" si="27">RANK(AW28,$AW$8:$AW$103,0)</f>
        <v>1</v>
      </c>
      <c r="AZ28" s="251">
        <f t="shared" ref="AZ28" si="28">$AZ$8</f>
        <v>0</v>
      </c>
      <c r="BA28" s="217">
        <v>0</v>
      </c>
      <c r="BB28" s="219">
        <f t="shared" ref="BB28" si="29">AZ28-BA28</f>
        <v>0</v>
      </c>
      <c r="BC28" s="241">
        <f>BH18</f>
        <v>0</v>
      </c>
      <c r="BD28" s="176">
        <f>BJ18</f>
        <v>0</v>
      </c>
      <c r="BE28" s="221">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61"/>
      <c r="E29" s="243"/>
      <c r="F29" s="244"/>
      <c r="G29" s="257"/>
      <c r="H29" s="243"/>
      <c r="I29" s="244"/>
      <c r="J29" s="259"/>
      <c r="K29" s="243"/>
      <c r="L29" s="244"/>
      <c r="M29" s="259"/>
      <c r="N29" s="243"/>
      <c r="O29" s="244"/>
      <c r="P29" s="259"/>
      <c r="Q29" s="243"/>
      <c r="R29" s="244"/>
      <c r="S29" s="253"/>
      <c r="T29" s="243"/>
      <c r="U29" s="244"/>
      <c r="V29" s="253"/>
      <c r="W29" s="243"/>
      <c r="X29" s="244"/>
      <c r="Y29" s="253"/>
      <c r="Z29" s="243"/>
      <c r="AA29" s="244"/>
      <c r="AB29" s="253"/>
      <c r="AC29" s="243"/>
      <c r="AD29" s="244"/>
      <c r="AE29" s="246"/>
      <c r="AF29" s="243"/>
      <c r="AG29" s="244"/>
      <c r="AH29" s="246"/>
      <c r="AI29" s="243"/>
      <c r="AJ29" s="244"/>
      <c r="AK29" s="253"/>
      <c r="AL29" s="243"/>
      <c r="AM29" s="244"/>
      <c r="AN29" s="253"/>
      <c r="AO29" s="243"/>
      <c r="AP29" s="244"/>
      <c r="AQ29" s="246"/>
      <c r="AR29" s="243"/>
      <c r="AS29" s="244"/>
      <c r="AT29" s="246"/>
      <c r="AU29" s="243"/>
      <c r="AV29" s="244"/>
      <c r="AW29" s="230"/>
      <c r="AX29" s="232"/>
      <c r="AY29" s="250"/>
      <c r="AZ29" s="236"/>
      <c r="BA29" s="218"/>
      <c r="BB29" s="220"/>
      <c r="BC29" s="242"/>
      <c r="BD29" s="182">
        <f>BI18</f>
        <v>0</v>
      </c>
      <c r="BE29" s="222"/>
      <c r="BF29" s="177"/>
      <c r="BG29" s="178"/>
      <c r="BH29" s="178"/>
      <c r="BI29" s="178"/>
      <c r="BJ29" s="178"/>
      <c r="BK29" s="178"/>
      <c r="BL29" s="169">
        <v>22</v>
      </c>
      <c r="BM29" s="82"/>
      <c r="BN29" s="179"/>
    </row>
    <row r="30" spans="1:66" ht="12.75" customHeight="1" x14ac:dyDescent="0.15">
      <c r="A30" s="173">
        <f>BL19</f>
        <v>12</v>
      </c>
      <c r="B30" s="174"/>
      <c r="C30" s="175"/>
      <c r="D30" s="260"/>
      <c r="E30" s="247"/>
      <c r="F30" s="248"/>
      <c r="G30" s="256"/>
      <c r="H30" s="247"/>
      <c r="I30" s="248"/>
      <c r="J30" s="258"/>
      <c r="K30" s="247"/>
      <c r="L30" s="248"/>
      <c r="M30" s="258"/>
      <c r="N30" s="247"/>
      <c r="O30" s="248"/>
      <c r="P30" s="258"/>
      <c r="Q30" s="247"/>
      <c r="R30" s="248"/>
      <c r="S30" s="252"/>
      <c r="T30" s="247"/>
      <c r="U30" s="248"/>
      <c r="V30" s="252"/>
      <c r="W30" s="247"/>
      <c r="X30" s="248"/>
      <c r="Y30" s="252"/>
      <c r="Z30" s="247"/>
      <c r="AA30" s="248"/>
      <c r="AB30" s="252"/>
      <c r="AC30" s="247"/>
      <c r="AD30" s="248"/>
      <c r="AE30" s="245"/>
      <c r="AF30" s="247"/>
      <c r="AG30" s="248"/>
      <c r="AH30" s="245"/>
      <c r="AI30" s="247"/>
      <c r="AJ30" s="248"/>
      <c r="AK30" s="252"/>
      <c r="AL30" s="247"/>
      <c r="AM30" s="248"/>
      <c r="AN30" s="252"/>
      <c r="AO30" s="247"/>
      <c r="AP30" s="248"/>
      <c r="AQ30" s="245"/>
      <c r="AR30" s="247"/>
      <c r="AS30" s="248"/>
      <c r="AT30" s="245"/>
      <c r="AU30" s="247"/>
      <c r="AV30" s="248"/>
      <c r="AW30" s="229">
        <f t="shared" ref="AW30" si="30">SUM(D30,G30,J30,M30,P30,S30,V30,AK30,AN30,AT30)</f>
        <v>0</v>
      </c>
      <c r="AX30" s="231" t="str">
        <f t="shared" ref="AX30" si="31">IF(AW30=0,"",AVERAGE(D30,G30,J30,M30,P30,S30,V30,AK30,AN30,AT30))</f>
        <v/>
      </c>
      <c r="AY30" s="249">
        <f t="shared" ref="AY30" si="32">RANK(AW30,$AW$8:$AW$103,0)</f>
        <v>1</v>
      </c>
      <c r="AZ30" s="251">
        <f t="shared" ref="AZ30" si="33">$AZ$8</f>
        <v>0</v>
      </c>
      <c r="BA30" s="217">
        <v>0</v>
      </c>
      <c r="BB30" s="219">
        <f t="shared" ref="BB30" si="34">AZ30-BA30</f>
        <v>0</v>
      </c>
      <c r="BC30" s="241">
        <f>BH19</f>
        <v>0</v>
      </c>
      <c r="BD30" s="176">
        <f>BJ19</f>
        <v>0</v>
      </c>
      <c r="BE30" s="221">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61"/>
      <c r="E31" s="243"/>
      <c r="F31" s="244"/>
      <c r="G31" s="257"/>
      <c r="H31" s="243"/>
      <c r="I31" s="244"/>
      <c r="J31" s="259"/>
      <c r="K31" s="243"/>
      <c r="L31" s="244"/>
      <c r="M31" s="259"/>
      <c r="N31" s="243"/>
      <c r="O31" s="244"/>
      <c r="P31" s="259"/>
      <c r="Q31" s="243"/>
      <c r="R31" s="244"/>
      <c r="S31" s="253"/>
      <c r="T31" s="243"/>
      <c r="U31" s="244"/>
      <c r="V31" s="253"/>
      <c r="W31" s="243"/>
      <c r="X31" s="244"/>
      <c r="Y31" s="253"/>
      <c r="Z31" s="243"/>
      <c r="AA31" s="244"/>
      <c r="AB31" s="253"/>
      <c r="AC31" s="243"/>
      <c r="AD31" s="244"/>
      <c r="AE31" s="246"/>
      <c r="AF31" s="243"/>
      <c r="AG31" s="244"/>
      <c r="AH31" s="246"/>
      <c r="AI31" s="243"/>
      <c r="AJ31" s="244"/>
      <c r="AK31" s="253"/>
      <c r="AL31" s="243"/>
      <c r="AM31" s="244"/>
      <c r="AN31" s="253"/>
      <c r="AO31" s="243"/>
      <c r="AP31" s="244"/>
      <c r="AQ31" s="246"/>
      <c r="AR31" s="243"/>
      <c r="AS31" s="244"/>
      <c r="AT31" s="246"/>
      <c r="AU31" s="243"/>
      <c r="AV31" s="244"/>
      <c r="AW31" s="230"/>
      <c r="AX31" s="232"/>
      <c r="AY31" s="250"/>
      <c r="AZ31" s="236"/>
      <c r="BA31" s="218"/>
      <c r="BB31" s="220"/>
      <c r="BC31" s="242"/>
      <c r="BD31" s="182">
        <f>BI19</f>
        <v>0</v>
      </c>
      <c r="BE31" s="222"/>
      <c r="BF31" s="177"/>
      <c r="BG31" s="178"/>
      <c r="BH31" s="178"/>
      <c r="BI31" s="178"/>
      <c r="BJ31" s="178"/>
      <c r="BK31" s="178"/>
      <c r="BL31" s="169">
        <v>24</v>
      </c>
      <c r="BM31" s="82"/>
      <c r="BN31" s="179"/>
    </row>
    <row r="32" spans="1:66" ht="12.75" customHeight="1" x14ac:dyDescent="0.15">
      <c r="A32" s="173">
        <f>BL20</f>
        <v>13</v>
      </c>
      <c r="B32" s="174"/>
      <c r="C32" s="175"/>
      <c r="D32" s="260"/>
      <c r="E32" s="247"/>
      <c r="F32" s="248"/>
      <c r="G32" s="256"/>
      <c r="H32" s="247"/>
      <c r="I32" s="248"/>
      <c r="J32" s="258"/>
      <c r="K32" s="247"/>
      <c r="L32" s="248"/>
      <c r="M32" s="258"/>
      <c r="N32" s="247"/>
      <c r="O32" s="248"/>
      <c r="P32" s="258"/>
      <c r="Q32" s="247"/>
      <c r="R32" s="248"/>
      <c r="S32" s="252"/>
      <c r="T32" s="247"/>
      <c r="U32" s="248"/>
      <c r="V32" s="252"/>
      <c r="W32" s="247"/>
      <c r="X32" s="248"/>
      <c r="Y32" s="252"/>
      <c r="Z32" s="247"/>
      <c r="AA32" s="248"/>
      <c r="AB32" s="252"/>
      <c r="AC32" s="247"/>
      <c r="AD32" s="248"/>
      <c r="AE32" s="245"/>
      <c r="AF32" s="247"/>
      <c r="AG32" s="248"/>
      <c r="AH32" s="245"/>
      <c r="AI32" s="247"/>
      <c r="AJ32" s="248"/>
      <c r="AK32" s="252"/>
      <c r="AL32" s="247"/>
      <c r="AM32" s="248"/>
      <c r="AN32" s="252"/>
      <c r="AO32" s="247"/>
      <c r="AP32" s="248"/>
      <c r="AQ32" s="245"/>
      <c r="AR32" s="247"/>
      <c r="AS32" s="248"/>
      <c r="AT32" s="245"/>
      <c r="AU32" s="247"/>
      <c r="AV32" s="248"/>
      <c r="AW32" s="229">
        <f t="shared" ref="AW32" si="35">SUM(D32,G32,J32,M32,P32,S32,V32,AK32,AN32,AT32)</f>
        <v>0</v>
      </c>
      <c r="AX32" s="231" t="str">
        <f t="shared" ref="AX32" si="36">IF(AW32=0,"",AVERAGE(D32,G32,J32,M32,P32,S32,V32,AK32,AN32,AT32))</f>
        <v/>
      </c>
      <c r="AY32" s="249">
        <f t="shared" ref="AY32" si="37">RANK(AW32,$AW$8:$AW$103,0)</f>
        <v>1</v>
      </c>
      <c r="AZ32" s="251">
        <f t="shared" ref="AZ32" si="38">$AZ$8</f>
        <v>0</v>
      </c>
      <c r="BA32" s="217">
        <v>0</v>
      </c>
      <c r="BB32" s="219">
        <f t="shared" ref="BB32" si="39">AZ32-BA32</f>
        <v>0</v>
      </c>
      <c r="BC32" s="241">
        <f>BH20</f>
        <v>0</v>
      </c>
      <c r="BD32" s="176">
        <f>BJ20</f>
        <v>0</v>
      </c>
      <c r="BE32" s="221">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61"/>
      <c r="E33" s="243"/>
      <c r="F33" s="244"/>
      <c r="G33" s="257"/>
      <c r="H33" s="243"/>
      <c r="I33" s="244"/>
      <c r="J33" s="259"/>
      <c r="K33" s="243"/>
      <c r="L33" s="244"/>
      <c r="M33" s="259"/>
      <c r="N33" s="243"/>
      <c r="O33" s="244"/>
      <c r="P33" s="259"/>
      <c r="Q33" s="243"/>
      <c r="R33" s="244"/>
      <c r="S33" s="253"/>
      <c r="T33" s="243"/>
      <c r="U33" s="244"/>
      <c r="V33" s="253"/>
      <c r="W33" s="243"/>
      <c r="X33" s="244"/>
      <c r="Y33" s="253"/>
      <c r="Z33" s="243"/>
      <c r="AA33" s="244"/>
      <c r="AB33" s="253"/>
      <c r="AC33" s="243"/>
      <c r="AD33" s="244"/>
      <c r="AE33" s="246"/>
      <c r="AF33" s="243"/>
      <c r="AG33" s="244"/>
      <c r="AH33" s="246"/>
      <c r="AI33" s="243"/>
      <c r="AJ33" s="244"/>
      <c r="AK33" s="253"/>
      <c r="AL33" s="243"/>
      <c r="AM33" s="244"/>
      <c r="AN33" s="253"/>
      <c r="AO33" s="243"/>
      <c r="AP33" s="244"/>
      <c r="AQ33" s="246"/>
      <c r="AR33" s="243"/>
      <c r="AS33" s="244"/>
      <c r="AT33" s="246"/>
      <c r="AU33" s="243"/>
      <c r="AV33" s="244"/>
      <c r="AW33" s="230"/>
      <c r="AX33" s="232"/>
      <c r="AY33" s="250"/>
      <c r="AZ33" s="236"/>
      <c r="BA33" s="218"/>
      <c r="BB33" s="220"/>
      <c r="BC33" s="242"/>
      <c r="BD33" s="182">
        <f>BI20</f>
        <v>0</v>
      </c>
      <c r="BE33" s="222"/>
      <c r="BF33" s="177"/>
      <c r="BG33" s="178"/>
      <c r="BH33" s="178"/>
      <c r="BI33" s="178"/>
      <c r="BJ33" s="178"/>
      <c r="BK33" s="178"/>
      <c r="BL33" s="169">
        <v>26</v>
      </c>
      <c r="BM33" s="82"/>
      <c r="BN33" s="179"/>
    </row>
    <row r="34" spans="1:66" ht="12.75" customHeight="1" x14ac:dyDescent="0.15">
      <c r="A34" s="173">
        <f>BL21</f>
        <v>14</v>
      </c>
      <c r="B34" s="174"/>
      <c r="C34" s="175"/>
      <c r="D34" s="260"/>
      <c r="E34" s="247"/>
      <c r="F34" s="248"/>
      <c r="G34" s="256"/>
      <c r="H34" s="247"/>
      <c r="I34" s="248"/>
      <c r="J34" s="258"/>
      <c r="K34" s="247"/>
      <c r="L34" s="248"/>
      <c r="M34" s="258"/>
      <c r="N34" s="247"/>
      <c r="O34" s="248"/>
      <c r="P34" s="258"/>
      <c r="Q34" s="247"/>
      <c r="R34" s="248"/>
      <c r="S34" s="252"/>
      <c r="T34" s="247"/>
      <c r="U34" s="248"/>
      <c r="V34" s="252"/>
      <c r="W34" s="247"/>
      <c r="X34" s="248"/>
      <c r="Y34" s="252"/>
      <c r="Z34" s="247"/>
      <c r="AA34" s="248"/>
      <c r="AB34" s="252"/>
      <c r="AC34" s="247"/>
      <c r="AD34" s="248"/>
      <c r="AE34" s="245"/>
      <c r="AF34" s="247"/>
      <c r="AG34" s="248"/>
      <c r="AH34" s="245"/>
      <c r="AI34" s="247"/>
      <c r="AJ34" s="248"/>
      <c r="AK34" s="252"/>
      <c r="AL34" s="247"/>
      <c r="AM34" s="248"/>
      <c r="AN34" s="252"/>
      <c r="AO34" s="247"/>
      <c r="AP34" s="248"/>
      <c r="AQ34" s="245"/>
      <c r="AR34" s="247"/>
      <c r="AS34" s="248"/>
      <c r="AT34" s="245"/>
      <c r="AU34" s="247"/>
      <c r="AV34" s="248"/>
      <c r="AW34" s="229">
        <f t="shared" ref="AW34" si="40">SUM(D34,G34,J34,M34,P34,S34,V34,AK34,AN34,AT34)</f>
        <v>0</v>
      </c>
      <c r="AX34" s="231" t="str">
        <f t="shared" ref="AX34" si="41">IF(AW34=0,"",AVERAGE(D34,G34,J34,M34,P34,S34,V34,AK34,AN34,AT34))</f>
        <v/>
      </c>
      <c r="AY34" s="249">
        <f t="shared" ref="AY34" si="42">RANK(AW34,$AW$8:$AW$103,0)</f>
        <v>1</v>
      </c>
      <c r="AZ34" s="251">
        <f t="shared" ref="AZ34" si="43">$AZ$8</f>
        <v>0</v>
      </c>
      <c r="BA34" s="217">
        <v>0</v>
      </c>
      <c r="BB34" s="219">
        <f t="shared" ref="BB34" si="44">AZ34-BA34</f>
        <v>0</v>
      </c>
      <c r="BC34" s="241">
        <f>BH21</f>
        <v>0</v>
      </c>
      <c r="BD34" s="176">
        <f>BJ21</f>
        <v>0</v>
      </c>
      <c r="BE34" s="221">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61"/>
      <c r="E35" s="243"/>
      <c r="F35" s="244"/>
      <c r="G35" s="257"/>
      <c r="H35" s="243"/>
      <c r="I35" s="244"/>
      <c r="J35" s="259"/>
      <c r="K35" s="243"/>
      <c r="L35" s="244"/>
      <c r="M35" s="259"/>
      <c r="N35" s="243"/>
      <c r="O35" s="244"/>
      <c r="P35" s="259"/>
      <c r="Q35" s="243"/>
      <c r="R35" s="244"/>
      <c r="S35" s="253"/>
      <c r="T35" s="243"/>
      <c r="U35" s="244"/>
      <c r="V35" s="253"/>
      <c r="W35" s="243"/>
      <c r="X35" s="244"/>
      <c r="Y35" s="253"/>
      <c r="Z35" s="243"/>
      <c r="AA35" s="244"/>
      <c r="AB35" s="253"/>
      <c r="AC35" s="243"/>
      <c r="AD35" s="244"/>
      <c r="AE35" s="246"/>
      <c r="AF35" s="243"/>
      <c r="AG35" s="244"/>
      <c r="AH35" s="246"/>
      <c r="AI35" s="243"/>
      <c r="AJ35" s="244"/>
      <c r="AK35" s="253"/>
      <c r="AL35" s="243"/>
      <c r="AM35" s="244"/>
      <c r="AN35" s="253"/>
      <c r="AO35" s="243"/>
      <c r="AP35" s="244"/>
      <c r="AQ35" s="246"/>
      <c r="AR35" s="243"/>
      <c r="AS35" s="244"/>
      <c r="AT35" s="246"/>
      <c r="AU35" s="243"/>
      <c r="AV35" s="244"/>
      <c r="AW35" s="230"/>
      <c r="AX35" s="232"/>
      <c r="AY35" s="250"/>
      <c r="AZ35" s="236"/>
      <c r="BA35" s="218"/>
      <c r="BB35" s="220"/>
      <c r="BC35" s="242"/>
      <c r="BD35" s="182">
        <f>BI21</f>
        <v>0</v>
      </c>
      <c r="BE35" s="222"/>
      <c r="BF35" s="177"/>
      <c r="BG35" s="178"/>
      <c r="BH35" s="178"/>
      <c r="BI35" s="178"/>
      <c r="BJ35" s="178"/>
      <c r="BK35" s="178"/>
      <c r="BL35" s="169">
        <v>28</v>
      </c>
      <c r="BM35" s="82"/>
      <c r="BN35" s="179"/>
    </row>
    <row r="36" spans="1:66" ht="12.75" customHeight="1" x14ac:dyDescent="0.15">
      <c r="A36" s="173">
        <f>BL22</f>
        <v>15</v>
      </c>
      <c r="B36" s="174"/>
      <c r="C36" s="175"/>
      <c r="D36" s="260"/>
      <c r="E36" s="247"/>
      <c r="F36" s="248"/>
      <c r="G36" s="256"/>
      <c r="H36" s="247"/>
      <c r="I36" s="248"/>
      <c r="J36" s="258"/>
      <c r="K36" s="247"/>
      <c r="L36" s="248"/>
      <c r="M36" s="258"/>
      <c r="N36" s="247"/>
      <c r="O36" s="248"/>
      <c r="P36" s="258"/>
      <c r="Q36" s="247"/>
      <c r="R36" s="248"/>
      <c r="S36" s="252"/>
      <c r="T36" s="247"/>
      <c r="U36" s="248"/>
      <c r="V36" s="252"/>
      <c r="W36" s="247"/>
      <c r="X36" s="248"/>
      <c r="Y36" s="252"/>
      <c r="Z36" s="247"/>
      <c r="AA36" s="248"/>
      <c r="AB36" s="252"/>
      <c r="AC36" s="247"/>
      <c r="AD36" s="248"/>
      <c r="AE36" s="245"/>
      <c r="AF36" s="247"/>
      <c r="AG36" s="248"/>
      <c r="AH36" s="245"/>
      <c r="AI36" s="247"/>
      <c r="AJ36" s="248"/>
      <c r="AK36" s="252"/>
      <c r="AL36" s="247"/>
      <c r="AM36" s="248"/>
      <c r="AN36" s="252"/>
      <c r="AO36" s="247"/>
      <c r="AP36" s="248"/>
      <c r="AQ36" s="245"/>
      <c r="AR36" s="247"/>
      <c r="AS36" s="248"/>
      <c r="AT36" s="245"/>
      <c r="AU36" s="247"/>
      <c r="AV36" s="248"/>
      <c r="AW36" s="229">
        <f t="shared" ref="AW36" si="45">SUM(D36,G36,J36,M36,P36,S36,V36,AK36,AN36,AT36)</f>
        <v>0</v>
      </c>
      <c r="AX36" s="231" t="str">
        <f t="shared" ref="AX36" si="46">IF(AW36=0,"",AVERAGE(D36,G36,J36,M36,P36,S36,V36,AK36,AN36,AT36))</f>
        <v/>
      </c>
      <c r="AY36" s="249">
        <f t="shared" ref="AY36" si="47">RANK(AW36,$AW$8:$AW$103,0)</f>
        <v>1</v>
      </c>
      <c r="AZ36" s="251">
        <f t="shared" ref="AZ36" si="48">$AZ$8</f>
        <v>0</v>
      </c>
      <c r="BA36" s="217">
        <v>0</v>
      </c>
      <c r="BB36" s="219">
        <f t="shared" ref="BB36" si="49">AZ36-BA36</f>
        <v>0</v>
      </c>
      <c r="BC36" s="241">
        <f>BH22</f>
        <v>0</v>
      </c>
      <c r="BD36" s="176">
        <f>BJ22</f>
        <v>0</v>
      </c>
      <c r="BE36" s="221">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61"/>
      <c r="E37" s="243"/>
      <c r="F37" s="244"/>
      <c r="G37" s="257"/>
      <c r="H37" s="243"/>
      <c r="I37" s="244"/>
      <c r="J37" s="259"/>
      <c r="K37" s="243"/>
      <c r="L37" s="244"/>
      <c r="M37" s="259"/>
      <c r="N37" s="243"/>
      <c r="O37" s="244"/>
      <c r="P37" s="259"/>
      <c r="Q37" s="243"/>
      <c r="R37" s="244"/>
      <c r="S37" s="253"/>
      <c r="T37" s="243"/>
      <c r="U37" s="244"/>
      <c r="V37" s="253"/>
      <c r="W37" s="243"/>
      <c r="X37" s="244"/>
      <c r="Y37" s="253"/>
      <c r="Z37" s="243"/>
      <c r="AA37" s="244"/>
      <c r="AB37" s="253"/>
      <c r="AC37" s="243"/>
      <c r="AD37" s="244"/>
      <c r="AE37" s="246"/>
      <c r="AF37" s="243"/>
      <c r="AG37" s="244"/>
      <c r="AH37" s="246"/>
      <c r="AI37" s="243"/>
      <c r="AJ37" s="244"/>
      <c r="AK37" s="253"/>
      <c r="AL37" s="243"/>
      <c r="AM37" s="244"/>
      <c r="AN37" s="253"/>
      <c r="AO37" s="243"/>
      <c r="AP37" s="244"/>
      <c r="AQ37" s="246"/>
      <c r="AR37" s="243"/>
      <c r="AS37" s="244"/>
      <c r="AT37" s="246"/>
      <c r="AU37" s="243"/>
      <c r="AV37" s="244"/>
      <c r="AW37" s="230"/>
      <c r="AX37" s="232"/>
      <c r="AY37" s="250"/>
      <c r="AZ37" s="236"/>
      <c r="BA37" s="218"/>
      <c r="BB37" s="220"/>
      <c r="BC37" s="242"/>
      <c r="BD37" s="182">
        <f>BI22</f>
        <v>0</v>
      </c>
      <c r="BE37" s="222"/>
      <c r="BF37" s="177"/>
      <c r="BG37" s="178"/>
      <c r="BH37" s="178"/>
      <c r="BI37" s="178"/>
      <c r="BJ37" s="178"/>
      <c r="BK37" s="178"/>
      <c r="BL37" s="169">
        <v>30</v>
      </c>
      <c r="BM37" s="184"/>
      <c r="BN37" s="179"/>
    </row>
    <row r="38" spans="1:66" ht="12.75" customHeight="1" x14ac:dyDescent="0.15">
      <c r="A38" s="173">
        <f>BL23</f>
        <v>16</v>
      </c>
      <c r="B38" s="174"/>
      <c r="C38" s="175"/>
      <c r="D38" s="260"/>
      <c r="E38" s="247"/>
      <c r="F38" s="248"/>
      <c r="G38" s="256"/>
      <c r="H38" s="247"/>
      <c r="I38" s="248"/>
      <c r="J38" s="258"/>
      <c r="K38" s="247"/>
      <c r="L38" s="248"/>
      <c r="M38" s="258"/>
      <c r="N38" s="247"/>
      <c r="O38" s="248"/>
      <c r="P38" s="258"/>
      <c r="Q38" s="247"/>
      <c r="R38" s="248"/>
      <c r="S38" s="252"/>
      <c r="T38" s="247"/>
      <c r="U38" s="248"/>
      <c r="V38" s="252"/>
      <c r="W38" s="247"/>
      <c r="X38" s="248"/>
      <c r="Y38" s="252"/>
      <c r="Z38" s="247"/>
      <c r="AA38" s="248"/>
      <c r="AB38" s="252"/>
      <c r="AC38" s="247"/>
      <c r="AD38" s="248"/>
      <c r="AE38" s="245"/>
      <c r="AF38" s="247"/>
      <c r="AG38" s="248"/>
      <c r="AH38" s="245"/>
      <c r="AI38" s="247"/>
      <c r="AJ38" s="248"/>
      <c r="AK38" s="252"/>
      <c r="AL38" s="247"/>
      <c r="AM38" s="248"/>
      <c r="AN38" s="252"/>
      <c r="AO38" s="247"/>
      <c r="AP38" s="248"/>
      <c r="AQ38" s="245"/>
      <c r="AR38" s="247"/>
      <c r="AS38" s="248"/>
      <c r="AT38" s="245"/>
      <c r="AU38" s="247"/>
      <c r="AV38" s="248"/>
      <c r="AW38" s="229">
        <f t="shared" ref="AW38" si="50">SUM(D38,G38,J38,M38,P38,S38,V38,AK38,AN38,AT38)</f>
        <v>0</v>
      </c>
      <c r="AX38" s="231" t="str">
        <f t="shared" ref="AX38" si="51">IF(AW38=0,"",AVERAGE(D38,G38,J38,M38,P38,S38,V38,AK38,AN38,AT38))</f>
        <v/>
      </c>
      <c r="AY38" s="249">
        <f t="shared" ref="AY38" si="52">RANK(AW38,$AW$8:$AW$103,0)</f>
        <v>1</v>
      </c>
      <c r="AZ38" s="251">
        <f t="shared" ref="AZ38" si="53">$AZ$8</f>
        <v>0</v>
      </c>
      <c r="BA38" s="217">
        <v>0</v>
      </c>
      <c r="BB38" s="219">
        <f t="shared" ref="BB38" si="54">AZ38-BA38</f>
        <v>0</v>
      </c>
      <c r="BC38" s="241">
        <f>BH23</f>
        <v>0</v>
      </c>
      <c r="BD38" s="176">
        <f>BJ23</f>
        <v>0</v>
      </c>
      <c r="BE38" s="221">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61"/>
      <c r="E39" s="243"/>
      <c r="F39" s="244"/>
      <c r="G39" s="257"/>
      <c r="H39" s="243"/>
      <c r="I39" s="244"/>
      <c r="J39" s="259"/>
      <c r="K39" s="243"/>
      <c r="L39" s="244"/>
      <c r="M39" s="259"/>
      <c r="N39" s="243"/>
      <c r="O39" s="244"/>
      <c r="P39" s="259"/>
      <c r="Q39" s="243"/>
      <c r="R39" s="244"/>
      <c r="S39" s="253"/>
      <c r="T39" s="243"/>
      <c r="U39" s="244"/>
      <c r="V39" s="253"/>
      <c r="W39" s="243"/>
      <c r="X39" s="244"/>
      <c r="Y39" s="253"/>
      <c r="Z39" s="243"/>
      <c r="AA39" s="244"/>
      <c r="AB39" s="253"/>
      <c r="AC39" s="243"/>
      <c r="AD39" s="244"/>
      <c r="AE39" s="246"/>
      <c r="AF39" s="243"/>
      <c r="AG39" s="244"/>
      <c r="AH39" s="246"/>
      <c r="AI39" s="243"/>
      <c r="AJ39" s="244"/>
      <c r="AK39" s="253"/>
      <c r="AL39" s="243"/>
      <c r="AM39" s="244"/>
      <c r="AN39" s="253"/>
      <c r="AO39" s="243"/>
      <c r="AP39" s="244"/>
      <c r="AQ39" s="246"/>
      <c r="AR39" s="243"/>
      <c r="AS39" s="244"/>
      <c r="AT39" s="246"/>
      <c r="AU39" s="243"/>
      <c r="AV39" s="244"/>
      <c r="AW39" s="230"/>
      <c r="AX39" s="232"/>
      <c r="AY39" s="250"/>
      <c r="AZ39" s="236"/>
      <c r="BA39" s="218"/>
      <c r="BB39" s="220"/>
      <c r="BC39" s="242"/>
      <c r="BD39" s="182">
        <f>BI23</f>
        <v>0</v>
      </c>
      <c r="BE39" s="222"/>
      <c r="BF39" s="177"/>
      <c r="BG39" s="178"/>
      <c r="BH39" s="178"/>
      <c r="BI39" s="178"/>
      <c r="BJ39" s="178"/>
      <c r="BK39" s="178"/>
      <c r="BL39" s="169">
        <v>32</v>
      </c>
      <c r="BM39" s="184"/>
      <c r="BN39" s="179"/>
    </row>
    <row r="40" spans="1:66" ht="12.75" customHeight="1" x14ac:dyDescent="0.15">
      <c r="A40" s="173">
        <f>BL24</f>
        <v>17</v>
      </c>
      <c r="B40" s="174"/>
      <c r="C40" s="175"/>
      <c r="D40" s="260"/>
      <c r="E40" s="247"/>
      <c r="F40" s="248"/>
      <c r="G40" s="256"/>
      <c r="H40" s="247"/>
      <c r="I40" s="248"/>
      <c r="J40" s="258"/>
      <c r="K40" s="247"/>
      <c r="L40" s="248"/>
      <c r="M40" s="258"/>
      <c r="N40" s="247"/>
      <c r="O40" s="248"/>
      <c r="P40" s="258"/>
      <c r="Q40" s="247"/>
      <c r="R40" s="248"/>
      <c r="S40" s="252"/>
      <c r="T40" s="247"/>
      <c r="U40" s="248"/>
      <c r="V40" s="252"/>
      <c r="W40" s="247"/>
      <c r="X40" s="248"/>
      <c r="Y40" s="252"/>
      <c r="Z40" s="247"/>
      <c r="AA40" s="248"/>
      <c r="AB40" s="252"/>
      <c r="AC40" s="247"/>
      <c r="AD40" s="248"/>
      <c r="AE40" s="245"/>
      <c r="AF40" s="247"/>
      <c r="AG40" s="248"/>
      <c r="AH40" s="245"/>
      <c r="AI40" s="247"/>
      <c r="AJ40" s="248"/>
      <c r="AK40" s="252"/>
      <c r="AL40" s="247"/>
      <c r="AM40" s="248"/>
      <c r="AN40" s="252"/>
      <c r="AO40" s="247"/>
      <c r="AP40" s="248"/>
      <c r="AQ40" s="245"/>
      <c r="AR40" s="247"/>
      <c r="AS40" s="248"/>
      <c r="AT40" s="245"/>
      <c r="AU40" s="247"/>
      <c r="AV40" s="248"/>
      <c r="AW40" s="229">
        <f t="shared" ref="AW40" si="55">SUM(D40,G40,J40,M40,P40,S40,V40,AK40,AN40,AT40)</f>
        <v>0</v>
      </c>
      <c r="AX40" s="231" t="str">
        <f t="shared" ref="AX40" si="56">IF(AW40=0,"",AVERAGE(D40,G40,J40,M40,P40,S40,V40,AK40,AN40,AT40))</f>
        <v/>
      </c>
      <c r="AY40" s="249">
        <f t="shared" ref="AY40" si="57">RANK(AW40,$AW$8:$AW$103,0)</f>
        <v>1</v>
      </c>
      <c r="AZ40" s="251">
        <f t="shared" ref="AZ40" si="58">$AZ$8</f>
        <v>0</v>
      </c>
      <c r="BA40" s="217">
        <v>0</v>
      </c>
      <c r="BB40" s="219">
        <f t="shared" ref="BB40" si="59">AZ40-BA40</f>
        <v>0</v>
      </c>
      <c r="BC40" s="241">
        <f>BH24</f>
        <v>0</v>
      </c>
      <c r="BD40" s="176">
        <f>BJ24</f>
        <v>0</v>
      </c>
      <c r="BE40" s="221">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61"/>
      <c r="E41" s="243"/>
      <c r="F41" s="244"/>
      <c r="G41" s="257"/>
      <c r="H41" s="243"/>
      <c r="I41" s="244"/>
      <c r="J41" s="259"/>
      <c r="K41" s="243"/>
      <c r="L41" s="244"/>
      <c r="M41" s="259"/>
      <c r="N41" s="243"/>
      <c r="O41" s="244"/>
      <c r="P41" s="259"/>
      <c r="Q41" s="243"/>
      <c r="R41" s="244"/>
      <c r="S41" s="253"/>
      <c r="T41" s="243"/>
      <c r="U41" s="244"/>
      <c r="V41" s="253"/>
      <c r="W41" s="243"/>
      <c r="X41" s="244"/>
      <c r="Y41" s="253"/>
      <c r="Z41" s="243"/>
      <c r="AA41" s="244"/>
      <c r="AB41" s="253"/>
      <c r="AC41" s="243"/>
      <c r="AD41" s="244"/>
      <c r="AE41" s="246"/>
      <c r="AF41" s="243"/>
      <c r="AG41" s="244"/>
      <c r="AH41" s="246"/>
      <c r="AI41" s="243"/>
      <c r="AJ41" s="244"/>
      <c r="AK41" s="253"/>
      <c r="AL41" s="243"/>
      <c r="AM41" s="244"/>
      <c r="AN41" s="253"/>
      <c r="AO41" s="243"/>
      <c r="AP41" s="244"/>
      <c r="AQ41" s="246"/>
      <c r="AR41" s="243"/>
      <c r="AS41" s="244"/>
      <c r="AT41" s="246"/>
      <c r="AU41" s="243"/>
      <c r="AV41" s="244"/>
      <c r="AW41" s="230"/>
      <c r="AX41" s="232"/>
      <c r="AY41" s="250"/>
      <c r="AZ41" s="236"/>
      <c r="BA41" s="218"/>
      <c r="BB41" s="220"/>
      <c r="BC41" s="242"/>
      <c r="BD41" s="182">
        <f>BI24</f>
        <v>0</v>
      </c>
      <c r="BE41" s="222"/>
      <c r="BF41" s="177"/>
      <c r="BG41" s="178"/>
      <c r="BH41" s="178"/>
      <c r="BI41" s="178"/>
      <c r="BJ41" s="178"/>
      <c r="BK41" s="178"/>
      <c r="BL41" s="169">
        <v>34</v>
      </c>
      <c r="BM41" s="184"/>
      <c r="BN41" s="179"/>
    </row>
    <row r="42" spans="1:66" ht="12.75" customHeight="1" x14ac:dyDescent="0.15">
      <c r="A42" s="173">
        <f>BL25</f>
        <v>18</v>
      </c>
      <c r="B42" s="174"/>
      <c r="C42" s="175"/>
      <c r="D42" s="260"/>
      <c r="E42" s="247"/>
      <c r="F42" s="248"/>
      <c r="G42" s="256"/>
      <c r="H42" s="247"/>
      <c r="I42" s="248"/>
      <c r="J42" s="258"/>
      <c r="K42" s="247"/>
      <c r="L42" s="248"/>
      <c r="M42" s="258"/>
      <c r="N42" s="247"/>
      <c r="O42" s="248"/>
      <c r="P42" s="258"/>
      <c r="Q42" s="247"/>
      <c r="R42" s="248"/>
      <c r="S42" s="252"/>
      <c r="T42" s="247"/>
      <c r="U42" s="248"/>
      <c r="V42" s="252"/>
      <c r="W42" s="247"/>
      <c r="X42" s="248"/>
      <c r="Y42" s="252"/>
      <c r="Z42" s="247"/>
      <c r="AA42" s="248"/>
      <c r="AB42" s="252"/>
      <c r="AC42" s="247"/>
      <c r="AD42" s="248"/>
      <c r="AE42" s="245"/>
      <c r="AF42" s="247"/>
      <c r="AG42" s="248"/>
      <c r="AH42" s="245"/>
      <c r="AI42" s="247"/>
      <c r="AJ42" s="248"/>
      <c r="AK42" s="252"/>
      <c r="AL42" s="247"/>
      <c r="AM42" s="248"/>
      <c r="AN42" s="252"/>
      <c r="AO42" s="247"/>
      <c r="AP42" s="248"/>
      <c r="AQ42" s="245"/>
      <c r="AR42" s="247"/>
      <c r="AS42" s="248"/>
      <c r="AT42" s="245"/>
      <c r="AU42" s="247"/>
      <c r="AV42" s="248"/>
      <c r="AW42" s="229">
        <f t="shared" ref="AW42" si="60">SUM(D42,G42,J42,M42,P42,S42,V42,AK42,AN42,AT42)</f>
        <v>0</v>
      </c>
      <c r="AX42" s="231" t="str">
        <f t="shared" ref="AX42" si="61">IF(AW42=0,"",AVERAGE(D42,G42,J42,M42,P42,S42,V42,AK42,AN42,AT42))</f>
        <v/>
      </c>
      <c r="AY42" s="249">
        <f t="shared" ref="AY42" si="62">RANK(AW42,$AW$8:$AW$103,0)</f>
        <v>1</v>
      </c>
      <c r="AZ42" s="251">
        <f t="shared" ref="AZ42" si="63">$AZ$8</f>
        <v>0</v>
      </c>
      <c r="BA42" s="217">
        <v>0</v>
      </c>
      <c r="BB42" s="219">
        <f t="shared" ref="BB42" si="64">AZ42-BA42</f>
        <v>0</v>
      </c>
      <c r="BC42" s="241">
        <f>BH25</f>
        <v>0</v>
      </c>
      <c r="BD42" s="176">
        <f>BJ25</f>
        <v>0</v>
      </c>
      <c r="BE42" s="221">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61"/>
      <c r="E43" s="243"/>
      <c r="F43" s="244"/>
      <c r="G43" s="257"/>
      <c r="H43" s="243"/>
      <c r="I43" s="244"/>
      <c r="J43" s="259"/>
      <c r="K43" s="243"/>
      <c r="L43" s="244"/>
      <c r="M43" s="259"/>
      <c r="N43" s="243"/>
      <c r="O43" s="244"/>
      <c r="P43" s="259"/>
      <c r="Q43" s="243"/>
      <c r="R43" s="244"/>
      <c r="S43" s="253"/>
      <c r="T43" s="243"/>
      <c r="U43" s="244"/>
      <c r="V43" s="253"/>
      <c r="W43" s="243"/>
      <c r="X43" s="244"/>
      <c r="Y43" s="253"/>
      <c r="Z43" s="243"/>
      <c r="AA43" s="244"/>
      <c r="AB43" s="253"/>
      <c r="AC43" s="243"/>
      <c r="AD43" s="244"/>
      <c r="AE43" s="246"/>
      <c r="AF43" s="243"/>
      <c r="AG43" s="244"/>
      <c r="AH43" s="246"/>
      <c r="AI43" s="243"/>
      <c r="AJ43" s="244"/>
      <c r="AK43" s="253"/>
      <c r="AL43" s="243"/>
      <c r="AM43" s="244"/>
      <c r="AN43" s="253"/>
      <c r="AO43" s="243"/>
      <c r="AP43" s="244"/>
      <c r="AQ43" s="246"/>
      <c r="AR43" s="243"/>
      <c r="AS43" s="244"/>
      <c r="AT43" s="246"/>
      <c r="AU43" s="243"/>
      <c r="AV43" s="244"/>
      <c r="AW43" s="230"/>
      <c r="AX43" s="232"/>
      <c r="AY43" s="250"/>
      <c r="AZ43" s="236"/>
      <c r="BA43" s="218"/>
      <c r="BB43" s="220"/>
      <c r="BC43" s="242"/>
      <c r="BD43" s="182">
        <f>BI25</f>
        <v>0</v>
      </c>
      <c r="BE43" s="222"/>
      <c r="BF43" s="177"/>
      <c r="BG43" s="178"/>
      <c r="BH43" s="178"/>
      <c r="BI43" s="178"/>
      <c r="BJ43" s="178"/>
      <c r="BK43" s="178"/>
      <c r="BL43" s="169">
        <v>36</v>
      </c>
      <c r="BM43" s="184"/>
      <c r="BN43" s="179"/>
    </row>
    <row r="44" spans="1:66" ht="12.75" customHeight="1" x14ac:dyDescent="0.15">
      <c r="A44" s="173">
        <f>BL26</f>
        <v>19</v>
      </c>
      <c r="B44" s="174"/>
      <c r="C44" s="175"/>
      <c r="D44" s="260"/>
      <c r="E44" s="247"/>
      <c r="F44" s="248"/>
      <c r="G44" s="256"/>
      <c r="H44" s="247"/>
      <c r="I44" s="248"/>
      <c r="J44" s="258"/>
      <c r="K44" s="247"/>
      <c r="L44" s="248"/>
      <c r="M44" s="258"/>
      <c r="N44" s="247"/>
      <c r="O44" s="248"/>
      <c r="P44" s="258"/>
      <c r="Q44" s="247"/>
      <c r="R44" s="248"/>
      <c r="S44" s="252"/>
      <c r="T44" s="247"/>
      <c r="U44" s="248"/>
      <c r="V44" s="252"/>
      <c r="W44" s="247"/>
      <c r="X44" s="248"/>
      <c r="Y44" s="252"/>
      <c r="Z44" s="247"/>
      <c r="AA44" s="248"/>
      <c r="AB44" s="252"/>
      <c r="AC44" s="247"/>
      <c r="AD44" s="248"/>
      <c r="AE44" s="245"/>
      <c r="AF44" s="247"/>
      <c r="AG44" s="248"/>
      <c r="AH44" s="245"/>
      <c r="AI44" s="247"/>
      <c r="AJ44" s="248"/>
      <c r="AK44" s="252"/>
      <c r="AL44" s="247"/>
      <c r="AM44" s="248"/>
      <c r="AN44" s="252"/>
      <c r="AO44" s="247"/>
      <c r="AP44" s="248"/>
      <c r="AQ44" s="245"/>
      <c r="AR44" s="247"/>
      <c r="AS44" s="248"/>
      <c r="AT44" s="245"/>
      <c r="AU44" s="247"/>
      <c r="AV44" s="248"/>
      <c r="AW44" s="229">
        <f t="shared" ref="AW44" si="65">SUM(D44,G44,J44,M44,P44,S44,V44,AK44,AN44,AT44)</f>
        <v>0</v>
      </c>
      <c r="AX44" s="231" t="str">
        <f t="shared" ref="AX44" si="66">IF(AW44=0,"",AVERAGE(D44,G44,J44,M44,P44,S44,V44,AK44,AN44,AT44))</f>
        <v/>
      </c>
      <c r="AY44" s="249">
        <f t="shared" ref="AY44" si="67">RANK(AW44,$AW$8:$AW$103,0)</f>
        <v>1</v>
      </c>
      <c r="AZ44" s="251">
        <f t="shared" ref="AZ44" si="68">$AZ$8</f>
        <v>0</v>
      </c>
      <c r="BA44" s="217">
        <v>0</v>
      </c>
      <c r="BB44" s="219">
        <f t="shared" ref="BB44" si="69">AZ44-BA44</f>
        <v>0</v>
      </c>
      <c r="BC44" s="241">
        <f>BH26</f>
        <v>0</v>
      </c>
      <c r="BD44" s="176">
        <f>BJ26</f>
        <v>0</v>
      </c>
      <c r="BE44" s="221">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61"/>
      <c r="E45" s="243"/>
      <c r="F45" s="244"/>
      <c r="G45" s="257"/>
      <c r="H45" s="243"/>
      <c r="I45" s="244"/>
      <c r="J45" s="259"/>
      <c r="K45" s="243"/>
      <c r="L45" s="244"/>
      <c r="M45" s="259"/>
      <c r="N45" s="243"/>
      <c r="O45" s="244"/>
      <c r="P45" s="259"/>
      <c r="Q45" s="243"/>
      <c r="R45" s="244"/>
      <c r="S45" s="253"/>
      <c r="T45" s="243"/>
      <c r="U45" s="244"/>
      <c r="V45" s="253"/>
      <c r="W45" s="243"/>
      <c r="X45" s="244"/>
      <c r="Y45" s="253"/>
      <c r="Z45" s="243"/>
      <c r="AA45" s="244"/>
      <c r="AB45" s="253"/>
      <c r="AC45" s="243"/>
      <c r="AD45" s="244"/>
      <c r="AE45" s="246"/>
      <c r="AF45" s="243"/>
      <c r="AG45" s="244"/>
      <c r="AH45" s="246"/>
      <c r="AI45" s="243"/>
      <c r="AJ45" s="244"/>
      <c r="AK45" s="253"/>
      <c r="AL45" s="243"/>
      <c r="AM45" s="244"/>
      <c r="AN45" s="253"/>
      <c r="AO45" s="243"/>
      <c r="AP45" s="244"/>
      <c r="AQ45" s="246"/>
      <c r="AR45" s="243"/>
      <c r="AS45" s="244"/>
      <c r="AT45" s="246"/>
      <c r="AU45" s="243"/>
      <c r="AV45" s="244"/>
      <c r="AW45" s="230"/>
      <c r="AX45" s="232"/>
      <c r="AY45" s="250"/>
      <c r="AZ45" s="236"/>
      <c r="BA45" s="218"/>
      <c r="BB45" s="220"/>
      <c r="BC45" s="242"/>
      <c r="BD45" s="182">
        <f>BI26</f>
        <v>0</v>
      </c>
      <c r="BE45" s="222"/>
      <c r="BF45" s="177"/>
      <c r="BG45" s="178"/>
      <c r="BH45" s="178"/>
      <c r="BI45" s="178"/>
      <c r="BJ45" s="178"/>
      <c r="BK45" s="178"/>
      <c r="BL45" s="169">
        <v>38</v>
      </c>
      <c r="BM45" s="184"/>
      <c r="BN45" s="179"/>
    </row>
    <row r="46" spans="1:66" ht="12.75" customHeight="1" x14ac:dyDescent="0.15">
      <c r="A46" s="173">
        <f>BL27</f>
        <v>20</v>
      </c>
      <c r="B46" s="174"/>
      <c r="C46" s="175"/>
      <c r="D46" s="260"/>
      <c r="E46" s="247"/>
      <c r="F46" s="248"/>
      <c r="G46" s="256"/>
      <c r="H46" s="247"/>
      <c r="I46" s="248"/>
      <c r="J46" s="258"/>
      <c r="K46" s="247"/>
      <c r="L46" s="248"/>
      <c r="M46" s="258"/>
      <c r="N46" s="247"/>
      <c r="O46" s="248"/>
      <c r="P46" s="258"/>
      <c r="Q46" s="247"/>
      <c r="R46" s="248"/>
      <c r="S46" s="252"/>
      <c r="T46" s="247"/>
      <c r="U46" s="248"/>
      <c r="V46" s="252"/>
      <c r="W46" s="247"/>
      <c r="X46" s="248"/>
      <c r="Y46" s="252"/>
      <c r="Z46" s="247"/>
      <c r="AA46" s="248"/>
      <c r="AB46" s="252"/>
      <c r="AC46" s="247"/>
      <c r="AD46" s="248"/>
      <c r="AE46" s="245"/>
      <c r="AF46" s="247"/>
      <c r="AG46" s="248"/>
      <c r="AH46" s="245"/>
      <c r="AI46" s="247"/>
      <c r="AJ46" s="248"/>
      <c r="AK46" s="252"/>
      <c r="AL46" s="247"/>
      <c r="AM46" s="248"/>
      <c r="AN46" s="252"/>
      <c r="AO46" s="247"/>
      <c r="AP46" s="248"/>
      <c r="AQ46" s="245"/>
      <c r="AR46" s="247"/>
      <c r="AS46" s="248"/>
      <c r="AT46" s="245"/>
      <c r="AU46" s="247"/>
      <c r="AV46" s="248"/>
      <c r="AW46" s="229">
        <f t="shared" ref="AW46" si="70">SUM(D46,G46,J46,M46,P46,S46,V46,AK46,AN46,AT46)</f>
        <v>0</v>
      </c>
      <c r="AX46" s="231" t="str">
        <f t="shared" ref="AX46" si="71">IF(AW46=0,"",AVERAGE(D46,G46,J46,M46,P46,S46,V46,AK46,AN46,AT46))</f>
        <v/>
      </c>
      <c r="AY46" s="249">
        <f t="shared" ref="AY46" si="72">RANK(AW46,$AW$8:$AW$103,0)</f>
        <v>1</v>
      </c>
      <c r="AZ46" s="251">
        <f t="shared" ref="AZ46" si="73">$AZ$8</f>
        <v>0</v>
      </c>
      <c r="BA46" s="217">
        <v>0</v>
      </c>
      <c r="BB46" s="219">
        <f t="shared" ref="BB46" si="74">AZ46-BA46</f>
        <v>0</v>
      </c>
      <c r="BC46" s="241">
        <f>BH27</f>
        <v>0</v>
      </c>
      <c r="BD46" s="176">
        <f>BJ27</f>
        <v>0</v>
      </c>
      <c r="BE46" s="221">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61"/>
      <c r="E47" s="243"/>
      <c r="F47" s="244"/>
      <c r="G47" s="257"/>
      <c r="H47" s="243"/>
      <c r="I47" s="244"/>
      <c r="J47" s="259"/>
      <c r="K47" s="243"/>
      <c r="L47" s="244"/>
      <c r="M47" s="259"/>
      <c r="N47" s="243"/>
      <c r="O47" s="244"/>
      <c r="P47" s="259"/>
      <c r="Q47" s="243"/>
      <c r="R47" s="244"/>
      <c r="S47" s="253"/>
      <c r="T47" s="243"/>
      <c r="U47" s="244"/>
      <c r="V47" s="253"/>
      <c r="W47" s="243"/>
      <c r="X47" s="244"/>
      <c r="Y47" s="253"/>
      <c r="Z47" s="243"/>
      <c r="AA47" s="244"/>
      <c r="AB47" s="253"/>
      <c r="AC47" s="243"/>
      <c r="AD47" s="244"/>
      <c r="AE47" s="246"/>
      <c r="AF47" s="243"/>
      <c r="AG47" s="244"/>
      <c r="AH47" s="246"/>
      <c r="AI47" s="243"/>
      <c r="AJ47" s="244"/>
      <c r="AK47" s="253"/>
      <c r="AL47" s="243"/>
      <c r="AM47" s="244"/>
      <c r="AN47" s="253"/>
      <c r="AO47" s="243"/>
      <c r="AP47" s="244"/>
      <c r="AQ47" s="246"/>
      <c r="AR47" s="243"/>
      <c r="AS47" s="244"/>
      <c r="AT47" s="246"/>
      <c r="AU47" s="243"/>
      <c r="AV47" s="244"/>
      <c r="AW47" s="230"/>
      <c r="AX47" s="232"/>
      <c r="AY47" s="250"/>
      <c r="AZ47" s="236"/>
      <c r="BA47" s="218"/>
      <c r="BB47" s="220"/>
      <c r="BC47" s="242"/>
      <c r="BD47" s="182">
        <f>BI27</f>
        <v>0</v>
      </c>
      <c r="BE47" s="222"/>
      <c r="BF47" s="177"/>
      <c r="BG47" s="178"/>
      <c r="BH47" s="178"/>
      <c r="BI47" s="178"/>
      <c r="BJ47" s="178"/>
      <c r="BK47" s="178"/>
      <c r="BL47" s="169">
        <v>40</v>
      </c>
      <c r="BM47" s="167"/>
      <c r="BN47" s="179"/>
    </row>
    <row r="48" spans="1:66" ht="12.75" customHeight="1" x14ac:dyDescent="0.15">
      <c r="A48" s="173">
        <f>BL28</f>
        <v>21</v>
      </c>
      <c r="B48" s="174"/>
      <c r="C48" s="175"/>
      <c r="D48" s="260"/>
      <c r="E48" s="247"/>
      <c r="F48" s="248"/>
      <c r="G48" s="256"/>
      <c r="H48" s="247"/>
      <c r="I48" s="248"/>
      <c r="J48" s="258"/>
      <c r="K48" s="247"/>
      <c r="L48" s="248"/>
      <c r="M48" s="258"/>
      <c r="N48" s="247"/>
      <c r="O48" s="248"/>
      <c r="P48" s="258"/>
      <c r="Q48" s="247"/>
      <c r="R48" s="248"/>
      <c r="S48" s="252"/>
      <c r="T48" s="247"/>
      <c r="U48" s="248"/>
      <c r="V48" s="252"/>
      <c r="W48" s="247"/>
      <c r="X48" s="248"/>
      <c r="Y48" s="252"/>
      <c r="Z48" s="247"/>
      <c r="AA48" s="248"/>
      <c r="AB48" s="252"/>
      <c r="AC48" s="247"/>
      <c r="AD48" s="248"/>
      <c r="AE48" s="245"/>
      <c r="AF48" s="247"/>
      <c r="AG48" s="248"/>
      <c r="AH48" s="245"/>
      <c r="AI48" s="247"/>
      <c r="AJ48" s="248"/>
      <c r="AK48" s="252"/>
      <c r="AL48" s="247"/>
      <c r="AM48" s="248"/>
      <c r="AN48" s="252"/>
      <c r="AO48" s="247"/>
      <c r="AP48" s="248"/>
      <c r="AQ48" s="245"/>
      <c r="AR48" s="247"/>
      <c r="AS48" s="248"/>
      <c r="AT48" s="245"/>
      <c r="AU48" s="247"/>
      <c r="AV48" s="248"/>
      <c r="AW48" s="229">
        <f t="shared" ref="AW48" si="75">SUM(D48,G48,J48,M48,P48,S48,V48,AK48,AN48,AT48)</f>
        <v>0</v>
      </c>
      <c r="AX48" s="231" t="str">
        <f t="shared" ref="AX48" si="76">IF(AW48=0,"",AVERAGE(D48,G48,J48,M48,P48,S48,V48,AK48,AN48,AT48))</f>
        <v/>
      </c>
      <c r="AY48" s="249">
        <f t="shared" ref="AY48" si="77">RANK(AW48,$AW$8:$AW$103,0)</f>
        <v>1</v>
      </c>
      <c r="AZ48" s="251">
        <f t="shared" ref="AZ48" si="78">$AZ$8</f>
        <v>0</v>
      </c>
      <c r="BA48" s="217">
        <v>0</v>
      </c>
      <c r="BB48" s="219">
        <f t="shared" ref="BB48" si="79">AZ48-BA48</f>
        <v>0</v>
      </c>
      <c r="BC48" s="241">
        <f>BH28</f>
        <v>0</v>
      </c>
      <c r="BD48" s="176">
        <f>BJ28</f>
        <v>0</v>
      </c>
      <c r="BE48" s="221">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61"/>
      <c r="E49" s="243"/>
      <c r="F49" s="244"/>
      <c r="G49" s="257"/>
      <c r="H49" s="243"/>
      <c r="I49" s="244"/>
      <c r="J49" s="259"/>
      <c r="K49" s="243"/>
      <c r="L49" s="244"/>
      <c r="M49" s="259"/>
      <c r="N49" s="243"/>
      <c r="O49" s="244"/>
      <c r="P49" s="259"/>
      <c r="Q49" s="243"/>
      <c r="R49" s="244"/>
      <c r="S49" s="253"/>
      <c r="T49" s="243"/>
      <c r="U49" s="244"/>
      <c r="V49" s="253"/>
      <c r="W49" s="243"/>
      <c r="X49" s="244"/>
      <c r="Y49" s="253"/>
      <c r="Z49" s="243"/>
      <c r="AA49" s="244"/>
      <c r="AB49" s="253"/>
      <c r="AC49" s="243"/>
      <c r="AD49" s="244"/>
      <c r="AE49" s="246"/>
      <c r="AF49" s="243"/>
      <c r="AG49" s="244"/>
      <c r="AH49" s="246"/>
      <c r="AI49" s="243"/>
      <c r="AJ49" s="244"/>
      <c r="AK49" s="253"/>
      <c r="AL49" s="243"/>
      <c r="AM49" s="244"/>
      <c r="AN49" s="253"/>
      <c r="AO49" s="243"/>
      <c r="AP49" s="244"/>
      <c r="AQ49" s="246"/>
      <c r="AR49" s="243"/>
      <c r="AS49" s="244"/>
      <c r="AT49" s="246"/>
      <c r="AU49" s="243"/>
      <c r="AV49" s="244"/>
      <c r="AW49" s="230"/>
      <c r="AX49" s="232"/>
      <c r="AY49" s="250"/>
      <c r="AZ49" s="236"/>
      <c r="BA49" s="218"/>
      <c r="BB49" s="220"/>
      <c r="BC49" s="242"/>
      <c r="BD49" s="182">
        <f>BI28</f>
        <v>0</v>
      </c>
      <c r="BE49" s="222"/>
      <c r="BF49" s="177"/>
      <c r="BG49" s="178"/>
      <c r="BH49" s="178"/>
      <c r="BI49" s="178"/>
      <c r="BJ49" s="178"/>
      <c r="BK49" s="178"/>
      <c r="BL49" s="169">
        <v>42</v>
      </c>
      <c r="BM49" s="167"/>
      <c r="BN49" s="179"/>
    </row>
    <row r="50" spans="1:66" ht="12.75" customHeight="1" x14ac:dyDescent="0.15">
      <c r="A50" s="173">
        <f>BL29</f>
        <v>22</v>
      </c>
      <c r="B50" s="174"/>
      <c r="C50" s="175"/>
      <c r="D50" s="260"/>
      <c r="E50" s="247"/>
      <c r="F50" s="248"/>
      <c r="G50" s="256"/>
      <c r="H50" s="247"/>
      <c r="I50" s="248"/>
      <c r="J50" s="258"/>
      <c r="K50" s="247"/>
      <c r="L50" s="248"/>
      <c r="M50" s="258"/>
      <c r="N50" s="247"/>
      <c r="O50" s="248"/>
      <c r="P50" s="258"/>
      <c r="Q50" s="247"/>
      <c r="R50" s="248"/>
      <c r="S50" s="252"/>
      <c r="T50" s="247"/>
      <c r="U50" s="248"/>
      <c r="V50" s="252"/>
      <c r="W50" s="247"/>
      <c r="X50" s="248"/>
      <c r="Y50" s="252"/>
      <c r="Z50" s="247"/>
      <c r="AA50" s="248"/>
      <c r="AB50" s="252"/>
      <c r="AC50" s="247"/>
      <c r="AD50" s="248"/>
      <c r="AE50" s="245"/>
      <c r="AF50" s="247"/>
      <c r="AG50" s="248"/>
      <c r="AH50" s="245"/>
      <c r="AI50" s="247"/>
      <c r="AJ50" s="248"/>
      <c r="AK50" s="252"/>
      <c r="AL50" s="247"/>
      <c r="AM50" s="248"/>
      <c r="AN50" s="252"/>
      <c r="AO50" s="247"/>
      <c r="AP50" s="248"/>
      <c r="AQ50" s="245"/>
      <c r="AR50" s="247"/>
      <c r="AS50" s="248"/>
      <c r="AT50" s="245"/>
      <c r="AU50" s="247"/>
      <c r="AV50" s="248"/>
      <c r="AW50" s="229">
        <f t="shared" ref="AW50" si="80">SUM(D50,G50,J50,M50,P50,S50,V50,AK50,AN50,AT50)</f>
        <v>0</v>
      </c>
      <c r="AX50" s="231" t="str">
        <f t="shared" ref="AX50" si="81">IF(AW50=0,"",AVERAGE(D50,G50,J50,M50,P50,S50,V50,AK50,AN50,AT50))</f>
        <v/>
      </c>
      <c r="AY50" s="249">
        <f t="shared" ref="AY50" si="82">RANK(AW50,$AW$8:$AW$103,0)</f>
        <v>1</v>
      </c>
      <c r="AZ50" s="251">
        <f t="shared" ref="AZ50" si="83">$AZ$8</f>
        <v>0</v>
      </c>
      <c r="BA50" s="217">
        <v>0</v>
      </c>
      <c r="BB50" s="219">
        <f t="shared" ref="BB50" si="84">AZ50-BA50</f>
        <v>0</v>
      </c>
      <c r="BC50" s="241">
        <f>BH29</f>
        <v>0</v>
      </c>
      <c r="BD50" s="176">
        <f>BJ29</f>
        <v>0</v>
      </c>
      <c r="BE50" s="221">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61"/>
      <c r="E51" s="243"/>
      <c r="F51" s="244"/>
      <c r="G51" s="257"/>
      <c r="H51" s="243"/>
      <c r="I51" s="244"/>
      <c r="J51" s="259"/>
      <c r="K51" s="243"/>
      <c r="L51" s="244"/>
      <c r="M51" s="259"/>
      <c r="N51" s="243"/>
      <c r="O51" s="244"/>
      <c r="P51" s="259"/>
      <c r="Q51" s="243"/>
      <c r="R51" s="244"/>
      <c r="S51" s="253"/>
      <c r="T51" s="243"/>
      <c r="U51" s="244"/>
      <c r="V51" s="253"/>
      <c r="W51" s="243"/>
      <c r="X51" s="244"/>
      <c r="Y51" s="253"/>
      <c r="Z51" s="243"/>
      <c r="AA51" s="244"/>
      <c r="AB51" s="253"/>
      <c r="AC51" s="243"/>
      <c r="AD51" s="244"/>
      <c r="AE51" s="246"/>
      <c r="AF51" s="243"/>
      <c r="AG51" s="244"/>
      <c r="AH51" s="246"/>
      <c r="AI51" s="243"/>
      <c r="AJ51" s="244"/>
      <c r="AK51" s="253"/>
      <c r="AL51" s="243"/>
      <c r="AM51" s="244"/>
      <c r="AN51" s="253"/>
      <c r="AO51" s="243"/>
      <c r="AP51" s="244"/>
      <c r="AQ51" s="246"/>
      <c r="AR51" s="243"/>
      <c r="AS51" s="244"/>
      <c r="AT51" s="246"/>
      <c r="AU51" s="243"/>
      <c r="AV51" s="244"/>
      <c r="AW51" s="230"/>
      <c r="AX51" s="232"/>
      <c r="AY51" s="250"/>
      <c r="AZ51" s="236"/>
      <c r="BA51" s="218"/>
      <c r="BB51" s="220"/>
      <c r="BC51" s="242"/>
      <c r="BD51" s="182">
        <f>BI29</f>
        <v>0</v>
      </c>
      <c r="BE51" s="222"/>
      <c r="BF51" s="177"/>
      <c r="BG51" s="178"/>
      <c r="BH51" s="178"/>
      <c r="BI51" s="178"/>
      <c r="BJ51" s="178"/>
      <c r="BK51" s="178"/>
      <c r="BL51" s="169">
        <v>44</v>
      </c>
      <c r="BM51" s="167"/>
      <c r="BN51" s="179"/>
    </row>
    <row r="52" spans="1:66" ht="12.75" customHeight="1" x14ac:dyDescent="0.15">
      <c r="A52" s="173">
        <f>BL30</f>
        <v>23</v>
      </c>
      <c r="B52" s="174"/>
      <c r="C52" s="185"/>
      <c r="D52" s="272"/>
      <c r="E52" s="247"/>
      <c r="F52" s="248"/>
      <c r="G52" s="274"/>
      <c r="H52" s="247"/>
      <c r="I52" s="248"/>
      <c r="J52" s="217"/>
      <c r="K52" s="247"/>
      <c r="L52" s="248"/>
      <c r="M52" s="270"/>
      <c r="N52" s="247"/>
      <c r="O52" s="248"/>
      <c r="P52" s="270"/>
      <c r="Q52" s="247"/>
      <c r="R52" s="248"/>
      <c r="S52" s="217"/>
      <c r="T52" s="247"/>
      <c r="U52" s="248"/>
      <c r="V52" s="217"/>
      <c r="W52" s="247"/>
      <c r="X52" s="248"/>
      <c r="Y52" s="217"/>
      <c r="Z52" s="266"/>
      <c r="AA52" s="267"/>
      <c r="AB52" s="217"/>
      <c r="AC52" s="266"/>
      <c r="AD52" s="267"/>
      <c r="AE52" s="264"/>
      <c r="AF52" s="266"/>
      <c r="AG52" s="267"/>
      <c r="AH52" s="264"/>
      <c r="AI52" s="266"/>
      <c r="AJ52" s="267"/>
      <c r="AK52" s="217"/>
      <c r="AL52" s="266"/>
      <c r="AM52" s="267"/>
      <c r="AN52" s="217"/>
      <c r="AO52" s="266"/>
      <c r="AP52" s="267"/>
      <c r="AQ52" s="264"/>
      <c r="AR52" s="266"/>
      <c r="AS52" s="267"/>
      <c r="AT52" s="264"/>
      <c r="AU52" s="266"/>
      <c r="AV52" s="267"/>
      <c r="AW52" s="229">
        <f t="shared" ref="AW52" si="85">SUM(D52,G52,J52,M52,P52,S52,V52,AK52,AN52,AT52)</f>
        <v>0</v>
      </c>
      <c r="AX52" s="231" t="str">
        <f t="shared" ref="AX52" si="86">IF(AW52=0,"",AVERAGE(D52,G52,J52,M52,P52,S52,V52,AK52,AN52,AT52))</f>
        <v/>
      </c>
      <c r="AY52" s="249">
        <f t="shared" ref="AY52" si="87">RANK(AW52,$AW$8:$AW$103,0)</f>
        <v>1</v>
      </c>
      <c r="AZ52" s="251">
        <f t="shared" ref="AZ52" si="88">$AZ$8</f>
        <v>0</v>
      </c>
      <c r="BA52" s="217">
        <v>0</v>
      </c>
      <c r="BB52" s="219">
        <f t="shared" ref="BB52" si="89">AZ52-BA52</f>
        <v>0</v>
      </c>
      <c r="BC52" s="241">
        <f>BH30</f>
        <v>0</v>
      </c>
      <c r="BD52" s="176">
        <f>BJ30</f>
        <v>0</v>
      </c>
      <c r="BE52" s="221">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273"/>
      <c r="E53" s="243"/>
      <c r="F53" s="244"/>
      <c r="G53" s="275"/>
      <c r="H53" s="243"/>
      <c r="I53" s="244"/>
      <c r="J53" s="218"/>
      <c r="K53" s="243"/>
      <c r="L53" s="244"/>
      <c r="M53" s="271"/>
      <c r="N53" s="243"/>
      <c r="O53" s="244"/>
      <c r="P53" s="271"/>
      <c r="Q53" s="243"/>
      <c r="R53" s="244"/>
      <c r="S53" s="218"/>
      <c r="T53" s="243"/>
      <c r="U53" s="244"/>
      <c r="V53" s="218"/>
      <c r="W53" s="243"/>
      <c r="X53" s="244"/>
      <c r="Y53" s="218"/>
      <c r="Z53" s="268"/>
      <c r="AA53" s="269"/>
      <c r="AB53" s="218"/>
      <c r="AC53" s="268"/>
      <c r="AD53" s="269"/>
      <c r="AE53" s="265"/>
      <c r="AF53" s="268"/>
      <c r="AG53" s="269"/>
      <c r="AH53" s="265"/>
      <c r="AI53" s="268"/>
      <c r="AJ53" s="269"/>
      <c r="AK53" s="218"/>
      <c r="AL53" s="268"/>
      <c r="AM53" s="269"/>
      <c r="AN53" s="218"/>
      <c r="AO53" s="268"/>
      <c r="AP53" s="269"/>
      <c r="AQ53" s="265"/>
      <c r="AR53" s="268"/>
      <c r="AS53" s="269"/>
      <c r="AT53" s="265"/>
      <c r="AU53" s="268"/>
      <c r="AV53" s="269"/>
      <c r="AW53" s="230"/>
      <c r="AX53" s="232"/>
      <c r="AY53" s="250"/>
      <c r="AZ53" s="236"/>
      <c r="BA53" s="218"/>
      <c r="BB53" s="220"/>
      <c r="BC53" s="242"/>
      <c r="BD53" s="182">
        <f>BI30</f>
        <v>0</v>
      </c>
      <c r="BE53" s="222"/>
      <c r="BF53" s="177"/>
      <c r="BG53" s="178"/>
      <c r="BH53" s="178"/>
      <c r="BI53" s="178"/>
      <c r="BJ53" s="178"/>
      <c r="BK53" s="178"/>
      <c r="BL53" s="169">
        <v>46</v>
      </c>
      <c r="BM53" s="167"/>
      <c r="BN53" s="179"/>
    </row>
    <row r="54" spans="1:66" ht="12.75" customHeight="1" x14ac:dyDescent="0.15">
      <c r="A54" s="173">
        <f>BL31</f>
        <v>24</v>
      </c>
      <c r="B54" s="174"/>
      <c r="C54" s="185"/>
      <c r="D54" s="272"/>
      <c r="E54" s="247"/>
      <c r="F54" s="248"/>
      <c r="G54" s="274"/>
      <c r="H54" s="247"/>
      <c r="I54" s="248"/>
      <c r="J54" s="217"/>
      <c r="K54" s="247"/>
      <c r="L54" s="248"/>
      <c r="M54" s="270"/>
      <c r="N54" s="247"/>
      <c r="O54" s="248"/>
      <c r="P54" s="270"/>
      <c r="Q54" s="247"/>
      <c r="R54" s="248"/>
      <c r="S54" s="217"/>
      <c r="T54" s="247"/>
      <c r="U54" s="248"/>
      <c r="V54" s="217"/>
      <c r="W54" s="247"/>
      <c r="X54" s="248"/>
      <c r="Y54" s="217"/>
      <c r="Z54" s="266"/>
      <c r="AA54" s="267"/>
      <c r="AB54" s="217"/>
      <c r="AC54" s="266"/>
      <c r="AD54" s="267"/>
      <c r="AE54" s="264"/>
      <c r="AF54" s="266"/>
      <c r="AG54" s="267"/>
      <c r="AH54" s="264"/>
      <c r="AI54" s="266"/>
      <c r="AJ54" s="267"/>
      <c r="AK54" s="217"/>
      <c r="AL54" s="266"/>
      <c r="AM54" s="267"/>
      <c r="AN54" s="217"/>
      <c r="AO54" s="266"/>
      <c r="AP54" s="267"/>
      <c r="AQ54" s="264"/>
      <c r="AR54" s="266"/>
      <c r="AS54" s="267"/>
      <c r="AT54" s="264"/>
      <c r="AU54" s="266"/>
      <c r="AV54" s="267"/>
      <c r="AW54" s="229">
        <f t="shared" ref="AW54" si="90">SUM(D54,G54,J54,M54,P54,S54,V54,AK54,AN54,AT54)</f>
        <v>0</v>
      </c>
      <c r="AX54" s="231" t="str">
        <f t="shared" ref="AX54" si="91">IF(AW54=0,"",AVERAGE(D54,G54,J54,M54,P54,S54,V54,AK54,AN54,AT54))</f>
        <v/>
      </c>
      <c r="AY54" s="249">
        <f t="shared" ref="AY54" si="92">RANK(AW54,$AW$8:$AW$103,0)</f>
        <v>1</v>
      </c>
      <c r="AZ54" s="251">
        <f t="shared" ref="AZ54" si="93">$AZ$8</f>
        <v>0</v>
      </c>
      <c r="BA54" s="217">
        <v>0</v>
      </c>
      <c r="BB54" s="219">
        <f t="shared" ref="BB54" si="94">AZ54-BA54</f>
        <v>0</v>
      </c>
      <c r="BC54" s="241">
        <f>BH31</f>
        <v>0</v>
      </c>
      <c r="BD54" s="176">
        <f>BJ31</f>
        <v>0</v>
      </c>
      <c r="BE54" s="221">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273"/>
      <c r="E55" s="243"/>
      <c r="F55" s="244"/>
      <c r="G55" s="275"/>
      <c r="H55" s="243"/>
      <c r="I55" s="244"/>
      <c r="J55" s="218"/>
      <c r="K55" s="243"/>
      <c r="L55" s="244"/>
      <c r="M55" s="271"/>
      <c r="N55" s="243"/>
      <c r="O55" s="244"/>
      <c r="P55" s="271"/>
      <c r="Q55" s="243"/>
      <c r="R55" s="244"/>
      <c r="S55" s="218"/>
      <c r="T55" s="243"/>
      <c r="U55" s="244"/>
      <c r="V55" s="218"/>
      <c r="W55" s="243"/>
      <c r="X55" s="244"/>
      <c r="Y55" s="218"/>
      <c r="Z55" s="268"/>
      <c r="AA55" s="269"/>
      <c r="AB55" s="218"/>
      <c r="AC55" s="268"/>
      <c r="AD55" s="269"/>
      <c r="AE55" s="265"/>
      <c r="AF55" s="268"/>
      <c r="AG55" s="269"/>
      <c r="AH55" s="265"/>
      <c r="AI55" s="268"/>
      <c r="AJ55" s="269"/>
      <c r="AK55" s="218"/>
      <c r="AL55" s="268"/>
      <c r="AM55" s="269"/>
      <c r="AN55" s="218"/>
      <c r="AO55" s="268"/>
      <c r="AP55" s="269"/>
      <c r="AQ55" s="265"/>
      <c r="AR55" s="268"/>
      <c r="AS55" s="269"/>
      <c r="AT55" s="265"/>
      <c r="AU55" s="268"/>
      <c r="AV55" s="269"/>
      <c r="AW55" s="230"/>
      <c r="AX55" s="232"/>
      <c r="AY55" s="250"/>
      <c r="AZ55" s="236"/>
      <c r="BA55" s="218"/>
      <c r="BB55" s="220"/>
      <c r="BC55" s="242"/>
      <c r="BD55" s="182">
        <f>BI31</f>
        <v>0</v>
      </c>
      <c r="BE55" s="222"/>
      <c r="BF55" s="177"/>
      <c r="BG55" s="178"/>
      <c r="BH55" s="178"/>
      <c r="BI55" s="178"/>
      <c r="BJ55" s="178"/>
      <c r="BK55" s="178"/>
      <c r="BL55" s="169">
        <v>48</v>
      </c>
      <c r="BM55" s="167"/>
      <c r="BN55" s="179"/>
    </row>
    <row r="56" spans="1:66" ht="12.75" customHeight="1" x14ac:dyDescent="0.15">
      <c r="A56" s="173">
        <f>BL32</f>
        <v>25</v>
      </c>
      <c r="B56" s="174"/>
      <c r="C56" s="175"/>
      <c r="D56" s="260"/>
      <c r="E56" s="247"/>
      <c r="F56" s="248"/>
      <c r="G56" s="256"/>
      <c r="H56" s="247"/>
      <c r="I56" s="248"/>
      <c r="J56" s="262"/>
      <c r="K56" s="247"/>
      <c r="L56" s="248"/>
      <c r="M56" s="258"/>
      <c r="N56" s="247"/>
      <c r="O56" s="248"/>
      <c r="P56" s="258"/>
      <c r="Q56" s="247"/>
      <c r="R56" s="248"/>
      <c r="S56" s="252"/>
      <c r="T56" s="247"/>
      <c r="U56" s="248"/>
      <c r="V56" s="252"/>
      <c r="W56" s="247"/>
      <c r="X56" s="248"/>
      <c r="Y56" s="252"/>
      <c r="Z56" s="247"/>
      <c r="AA56" s="248"/>
      <c r="AB56" s="252"/>
      <c r="AC56" s="247"/>
      <c r="AD56" s="248"/>
      <c r="AE56" s="245"/>
      <c r="AF56" s="247"/>
      <c r="AG56" s="248"/>
      <c r="AH56" s="245"/>
      <c r="AI56" s="247"/>
      <c r="AJ56" s="248"/>
      <c r="AK56" s="252"/>
      <c r="AL56" s="247"/>
      <c r="AM56" s="248"/>
      <c r="AN56" s="252"/>
      <c r="AO56" s="247"/>
      <c r="AP56" s="248"/>
      <c r="AQ56" s="245"/>
      <c r="AR56" s="247"/>
      <c r="AS56" s="248"/>
      <c r="AT56" s="245"/>
      <c r="AU56" s="247"/>
      <c r="AV56" s="248"/>
      <c r="AW56" s="229">
        <f t="shared" ref="AW56" si="95">SUM(D56,G56,J56,M56,P56,S56,V56,AK56,AN56,AT56)</f>
        <v>0</v>
      </c>
      <c r="AX56" s="231" t="str">
        <f t="shared" ref="AX56" si="96">IF(AW56=0,"",AVERAGE(D56,G56,J56,M56,P56,S56,V56,AK56,AN56,AT56))</f>
        <v/>
      </c>
      <c r="AY56" s="249">
        <f t="shared" ref="AY56" si="97">RANK(AW56,$AW$8:$AW$103,0)</f>
        <v>1</v>
      </c>
      <c r="AZ56" s="251">
        <f t="shared" ref="AZ56" si="98">$AZ$8</f>
        <v>0</v>
      </c>
      <c r="BA56" s="217">
        <v>0</v>
      </c>
      <c r="BB56" s="219">
        <f t="shared" ref="BB56" si="99">AZ56-BA56</f>
        <v>0</v>
      </c>
      <c r="BC56" s="241">
        <f>BH32</f>
        <v>0</v>
      </c>
      <c r="BD56" s="176">
        <f>BJ32</f>
        <v>0</v>
      </c>
      <c r="BE56" s="221">
        <f>BG32</f>
        <v>0</v>
      </c>
      <c r="BF56" s="177">
        <f t="shared" si="0"/>
        <v>0</v>
      </c>
    </row>
    <row r="57" spans="1:66" ht="12.75" customHeight="1" x14ac:dyDescent="0.15">
      <c r="A57" s="14">
        <f>BM32</f>
        <v>0</v>
      </c>
      <c r="B57" s="180">
        <f>BN32</f>
        <v>0</v>
      </c>
      <c r="C57" s="181"/>
      <c r="D57" s="261"/>
      <c r="E57" s="243"/>
      <c r="F57" s="244"/>
      <c r="G57" s="257"/>
      <c r="H57" s="243"/>
      <c r="I57" s="244"/>
      <c r="J57" s="263"/>
      <c r="K57" s="243"/>
      <c r="L57" s="244"/>
      <c r="M57" s="259"/>
      <c r="N57" s="243"/>
      <c r="O57" s="244"/>
      <c r="P57" s="259"/>
      <c r="Q57" s="243"/>
      <c r="R57" s="244"/>
      <c r="S57" s="253"/>
      <c r="T57" s="243"/>
      <c r="U57" s="244"/>
      <c r="V57" s="253"/>
      <c r="W57" s="243"/>
      <c r="X57" s="244"/>
      <c r="Y57" s="253"/>
      <c r="Z57" s="243"/>
      <c r="AA57" s="244"/>
      <c r="AB57" s="253"/>
      <c r="AC57" s="243"/>
      <c r="AD57" s="244"/>
      <c r="AE57" s="246"/>
      <c r="AF57" s="243"/>
      <c r="AG57" s="244"/>
      <c r="AH57" s="246"/>
      <c r="AI57" s="243"/>
      <c r="AJ57" s="244"/>
      <c r="AK57" s="253"/>
      <c r="AL57" s="243"/>
      <c r="AM57" s="244"/>
      <c r="AN57" s="253"/>
      <c r="AO57" s="243"/>
      <c r="AP57" s="244"/>
      <c r="AQ57" s="246"/>
      <c r="AR57" s="243"/>
      <c r="AS57" s="244"/>
      <c r="AT57" s="246"/>
      <c r="AU57" s="243"/>
      <c r="AV57" s="244"/>
      <c r="AW57" s="230"/>
      <c r="AX57" s="232"/>
      <c r="AY57" s="250"/>
      <c r="AZ57" s="236"/>
      <c r="BA57" s="218"/>
      <c r="BB57" s="220"/>
      <c r="BC57" s="242"/>
      <c r="BD57" s="182">
        <f>BI32</f>
        <v>0</v>
      </c>
      <c r="BE57" s="222"/>
      <c r="BF57" s="177"/>
    </row>
    <row r="58" spans="1:66" ht="12.75" customHeight="1" x14ac:dyDescent="0.15">
      <c r="A58" s="173">
        <f>BL33</f>
        <v>26</v>
      </c>
      <c r="B58" s="174"/>
      <c r="C58" s="175"/>
      <c r="D58" s="254"/>
      <c r="E58" s="247"/>
      <c r="F58" s="248"/>
      <c r="G58" s="256"/>
      <c r="H58" s="247"/>
      <c r="I58" s="248"/>
      <c r="J58" s="252"/>
      <c r="K58" s="247"/>
      <c r="L58" s="248"/>
      <c r="M58" s="252"/>
      <c r="N58" s="247"/>
      <c r="O58" s="248"/>
      <c r="P58" s="252"/>
      <c r="Q58" s="247"/>
      <c r="R58" s="248"/>
      <c r="S58" s="252"/>
      <c r="T58" s="247"/>
      <c r="U58" s="248"/>
      <c r="V58" s="252"/>
      <c r="W58" s="247"/>
      <c r="X58" s="248"/>
      <c r="Y58" s="252"/>
      <c r="Z58" s="247"/>
      <c r="AA58" s="248"/>
      <c r="AB58" s="252"/>
      <c r="AC58" s="247"/>
      <c r="AD58" s="248"/>
      <c r="AE58" s="245"/>
      <c r="AF58" s="247"/>
      <c r="AG58" s="248"/>
      <c r="AH58" s="245"/>
      <c r="AI58" s="247"/>
      <c r="AJ58" s="248"/>
      <c r="AK58" s="252"/>
      <c r="AL58" s="247"/>
      <c r="AM58" s="248"/>
      <c r="AN58" s="252"/>
      <c r="AO58" s="247"/>
      <c r="AP58" s="248"/>
      <c r="AQ58" s="245"/>
      <c r="AR58" s="247"/>
      <c r="AS58" s="248"/>
      <c r="AT58" s="245"/>
      <c r="AU58" s="247"/>
      <c r="AV58" s="248"/>
      <c r="AW58" s="229">
        <f t="shared" ref="AW58" si="100">SUM(D58,G58,J58,M58,P58,S58,V58,AK58,AN58,AT58)</f>
        <v>0</v>
      </c>
      <c r="AX58" s="231" t="str">
        <f t="shared" ref="AX58" si="101">IF(AW58=0,"",AVERAGE(D58,G58,J58,M58,P58,S58,V58,AK58,AN58,AT58))</f>
        <v/>
      </c>
      <c r="AY58" s="249">
        <f t="shared" ref="AY58" si="102">RANK(AW58,$AW$8:$AW$103,0)</f>
        <v>1</v>
      </c>
      <c r="AZ58" s="251">
        <f t="shared" ref="AZ58" si="103">$AZ$8</f>
        <v>0</v>
      </c>
      <c r="BA58" s="217">
        <v>0</v>
      </c>
      <c r="BB58" s="219">
        <f t="shared" ref="BB58" si="104">AZ58-BA58</f>
        <v>0</v>
      </c>
      <c r="BC58" s="241">
        <f>BH33</f>
        <v>0</v>
      </c>
      <c r="BD58" s="176">
        <f>BJ33</f>
        <v>0</v>
      </c>
      <c r="BE58" s="221">
        <f>BG33</f>
        <v>0</v>
      </c>
      <c r="BF58" s="177">
        <f t="shared" si="0"/>
        <v>0</v>
      </c>
    </row>
    <row r="59" spans="1:66" ht="12.75" customHeight="1" x14ac:dyDescent="0.15">
      <c r="A59" s="14">
        <f>BM33</f>
        <v>0</v>
      </c>
      <c r="B59" s="180">
        <f>BN33</f>
        <v>0</v>
      </c>
      <c r="C59" s="181"/>
      <c r="D59" s="255"/>
      <c r="E59" s="243"/>
      <c r="F59" s="244"/>
      <c r="G59" s="257"/>
      <c r="H59" s="243"/>
      <c r="I59" s="244"/>
      <c r="J59" s="253"/>
      <c r="K59" s="243"/>
      <c r="L59" s="244"/>
      <c r="M59" s="253"/>
      <c r="N59" s="243"/>
      <c r="O59" s="244"/>
      <c r="P59" s="253"/>
      <c r="Q59" s="243"/>
      <c r="R59" s="244"/>
      <c r="S59" s="253"/>
      <c r="T59" s="243"/>
      <c r="U59" s="244"/>
      <c r="V59" s="253"/>
      <c r="W59" s="243"/>
      <c r="X59" s="244"/>
      <c r="Y59" s="253"/>
      <c r="Z59" s="243"/>
      <c r="AA59" s="244"/>
      <c r="AB59" s="253"/>
      <c r="AC59" s="243"/>
      <c r="AD59" s="244"/>
      <c r="AE59" s="246"/>
      <c r="AF59" s="243"/>
      <c r="AG59" s="244"/>
      <c r="AH59" s="246"/>
      <c r="AI59" s="243"/>
      <c r="AJ59" s="244"/>
      <c r="AK59" s="253"/>
      <c r="AL59" s="243"/>
      <c r="AM59" s="244"/>
      <c r="AN59" s="253"/>
      <c r="AO59" s="243"/>
      <c r="AP59" s="244"/>
      <c r="AQ59" s="246"/>
      <c r="AR59" s="243"/>
      <c r="AS59" s="244"/>
      <c r="AT59" s="246"/>
      <c r="AU59" s="243"/>
      <c r="AV59" s="244"/>
      <c r="AW59" s="230"/>
      <c r="AX59" s="232"/>
      <c r="AY59" s="250"/>
      <c r="AZ59" s="236"/>
      <c r="BA59" s="218"/>
      <c r="BB59" s="220"/>
      <c r="BC59" s="242"/>
      <c r="BD59" s="182">
        <f>BI33</f>
        <v>0</v>
      </c>
      <c r="BE59" s="222"/>
      <c r="BF59" s="177"/>
    </row>
    <row r="60" spans="1:66" ht="12.75" customHeight="1" x14ac:dyDescent="0.15">
      <c r="A60" s="173">
        <f>BL34</f>
        <v>27</v>
      </c>
      <c r="B60" s="174"/>
      <c r="C60" s="175"/>
      <c r="D60" s="254"/>
      <c r="E60" s="247"/>
      <c r="F60" s="248"/>
      <c r="G60" s="256"/>
      <c r="H60" s="247"/>
      <c r="I60" s="248"/>
      <c r="J60" s="252"/>
      <c r="K60" s="247"/>
      <c r="L60" s="248"/>
      <c r="M60" s="252"/>
      <c r="N60" s="247"/>
      <c r="O60" s="248"/>
      <c r="P60" s="252"/>
      <c r="Q60" s="247"/>
      <c r="R60" s="248"/>
      <c r="S60" s="252"/>
      <c r="T60" s="247"/>
      <c r="U60" s="248"/>
      <c r="V60" s="252"/>
      <c r="W60" s="247"/>
      <c r="X60" s="248"/>
      <c r="Y60" s="252"/>
      <c r="Z60" s="247"/>
      <c r="AA60" s="248"/>
      <c r="AB60" s="252"/>
      <c r="AC60" s="247"/>
      <c r="AD60" s="248"/>
      <c r="AE60" s="245"/>
      <c r="AF60" s="247"/>
      <c r="AG60" s="248"/>
      <c r="AH60" s="245"/>
      <c r="AI60" s="247"/>
      <c r="AJ60" s="248"/>
      <c r="AK60" s="252"/>
      <c r="AL60" s="247"/>
      <c r="AM60" s="248"/>
      <c r="AN60" s="252"/>
      <c r="AO60" s="247"/>
      <c r="AP60" s="248"/>
      <c r="AQ60" s="245"/>
      <c r="AR60" s="247"/>
      <c r="AS60" s="248"/>
      <c r="AT60" s="245"/>
      <c r="AU60" s="247"/>
      <c r="AV60" s="248"/>
      <c r="AW60" s="229">
        <f t="shared" ref="AW60" si="105">SUM(D60,G60,J60,M60,P60,S60,V60,AK60,AN60,AT60)</f>
        <v>0</v>
      </c>
      <c r="AX60" s="231" t="str">
        <f t="shared" ref="AX60" si="106">IF(AW60=0,"",AVERAGE(D60,G60,J60,M60,P60,S60,V60,AK60,AN60,AT60))</f>
        <v/>
      </c>
      <c r="AY60" s="249">
        <f t="shared" ref="AY60" si="107">RANK(AW60,$AW$8:$AW$103,0)</f>
        <v>1</v>
      </c>
      <c r="AZ60" s="251">
        <f t="shared" ref="AZ60" si="108">$AZ$8</f>
        <v>0</v>
      </c>
      <c r="BA60" s="217">
        <v>0</v>
      </c>
      <c r="BB60" s="219">
        <f t="shared" ref="BB60" si="109">AZ60-BA60</f>
        <v>0</v>
      </c>
      <c r="BC60" s="241">
        <f>BH34</f>
        <v>0</v>
      </c>
      <c r="BD60" s="176">
        <f>BJ34</f>
        <v>0</v>
      </c>
      <c r="BE60" s="221">
        <f>BG34</f>
        <v>0</v>
      </c>
      <c r="BF60" s="177">
        <f t="shared" si="0"/>
        <v>0</v>
      </c>
    </row>
    <row r="61" spans="1:66" ht="12.75" customHeight="1" x14ac:dyDescent="0.15">
      <c r="A61" s="14">
        <f>BM34</f>
        <v>0</v>
      </c>
      <c r="B61" s="180">
        <f>BN34</f>
        <v>0</v>
      </c>
      <c r="C61" s="181"/>
      <c r="D61" s="255"/>
      <c r="E61" s="243"/>
      <c r="F61" s="244"/>
      <c r="G61" s="257"/>
      <c r="H61" s="243"/>
      <c r="I61" s="244"/>
      <c r="J61" s="253"/>
      <c r="K61" s="243"/>
      <c r="L61" s="244"/>
      <c r="M61" s="253"/>
      <c r="N61" s="243"/>
      <c r="O61" s="244"/>
      <c r="P61" s="253"/>
      <c r="Q61" s="243"/>
      <c r="R61" s="244"/>
      <c r="S61" s="253"/>
      <c r="T61" s="243"/>
      <c r="U61" s="244"/>
      <c r="V61" s="253"/>
      <c r="W61" s="243"/>
      <c r="X61" s="244"/>
      <c r="Y61" s="253"/>
      <c r="Z61" s="243"/>
      <c r="AA61" s="244"/>
      <c r="AB61" s="253"/>
      <c r="AC61" s="243"/>
      <c r="AD61" s="244"/>
      <c r="AE61" s="246"/>
      <c r="AF61" s="243"/>
      <c r="AG61" s="244"/>
      <c r="AH61" s="246"/>
      <c r="AI61" s="243"/>
      <c r="AJ61" s="244"/>
      <c r="AK61" s="253"/>
      <c r="AL61" s="243"/>
      <c r="AM61" s="244"/>
      <c r="AN61" s="253"/>
      <c r="AO61" s="243"/>
      <c r="AP61" s="244"/>
      <c r="AQ61" s="246"/>
      <c r="AR61" s="243"/>
      <c r="AS61" s="244"/>
      <c r="AT61" s="246"/>
      <c r="AU61" s="243"/>
      <c r="AV61" s="244"/>
      <c r="AW61" s="230"/>
      <c r="AX61" s="232"/>
      <c r="AY61" s="250"/>
      <c r="AZ61" s="236"/>
      <c r="BA61" s="218"/>
      <c r="BB61" s="220"/>
      <c r="BC61" s="242"/>
      <c r="BD61" s="182">
        <f>BI34</f>
        <v>0</v>
      </c>
      <c r="BE61" s="222"/>
      <c r="BF61" s="177"/>
    </row>
    <row r="62" spans="1:66" ht="12.75" customHeight="1" x14ac:dyDescent="0.15">
      <c r="A62" s="173">
        <f>BL35</f>
        <v>28</v>
      </c>
      <c r="B62" s="174"/>
      <c r="C62" s="175"/>
      <c r="D62" s="254"/>
      <c r="E62" s="247"/>
      <c r="F62" s="248"/>
      <c r="G62" s="256"/>
      <c r="H62" s="247"/>
      <c r="I62" s="248"/>
      <c r="J62" s="252"/>
      <c r="K62" s="247"/>
      <c r="L62" s="248"/>
      <c r="M62" s="252"/>
      <c r="N62" s="247"/>
      <c r="O62" s="248"/>
      <c r="P62" s="252"/>
      <c r="Q62" s="247"/>
      <c r="R62" s="248"/>
      <c r="S62" s="252"/>
      <c r="T62" s="247"/>
      <c r="U62" s="248"/>
      <c r="V62" s="252"/>
      <c r="W62" s="247"/>
      <c r="X62" s="248"/>
      <c r="Y62" s="252"/>
      <c r="Z62" s="247"/>
      <c r="AA62" s="248"/>
      <c r="AB62" s="252"/>
      <c r="AC62" s="247"/>
      <c r="AD62" s="248"/>
      <c r="AE62" s="245"/>
      <c r="AF62" s="247"/>
      <c r="AG62" s="248"/>
      <c r="AH62" s="245"/>
      <c r="AI62" s="247"/>
      <c r="AJ62" s="248"/>
      <c r="AK62" s="252"/>
      <c r="AL62" s="247"/>
      <c r="AM62" s="248"/>
      <c r="AN62" s="252"/>
      <c r="AO62" s="247"/>
      <c r="AP62" s="248"/>
      <c r="AQ62" s="245"/>
      <c r="AR62" s="247"/>
      <c r="AS62" s="248"/>
      <c r="AT62" s="245"/>
      <c r="AU62" s="247"/>
      <c r="AV62" s="248"/>
      <c r="AW62" s="229">
        <f t="shared" ref="AW62" si="110">SUM(D62,G62,J62,M62,P62,S62,V62,AK62,AN62,AT62)</f>
        <v>0</v>
      </c>
      <c r="AX62" s="231" t="str">
        <f t="shared" ref="AX62" si="111">IF(AW62=0,"",AVERAGE(D62,G62,J62,M62,P62,S62,V62,AK62,AN62,AT62))</f>
        <v/>
      </c>
      <c r="AY62" s="249">
        <f t="shared" ref="AY62" si="112">RANK(AW62,$AW$8:$AW$103,0)</f>
        <v>1</v>
      </c>
      <c r="AZ62" s="251">
        <f t="shared" ref="AZ62" si="113">$AZ$8</f>
        <v>0</v>
      </c>
      <c r="BA62" s="217">
        <v>0</v>
      </c>
      <c r="BB62" s="219">
        <f t="shared" ref="BB62" si="114">AZ62-BA62</f>
        <v>0</v>
      </c>
      <c r="BC62" s="241">
        <f>BH35</f>
        <v>0</v>
      </c>
      <c r="BD62" s="176">
        <f>BJ35</f>
        <v>0</v>
      </c>
      <c r="BE62" s="221">
        <f>BG35</f>
        <v>0</v>
      </c>
      <c r="BF62" s="177">
        <f t="shared" si="0"/>
        <v>0</v>
      </c>
    </row>
    <row r="63" spans="1:66" ht="12.75" customHeight="1" x14ac:dyDescent="0.15">
      <c r="A63" s="14">
        <f>BM35</f>
        <v>0</v>
      </c>
      <c r="B63" s="180">
        <f>BN35</f>
        <v>0</v>
      </c>
      <c r="C63" s="181"/>
      <c r="D63" s="255"/>
      <c r="E63" s="243"/>
      <c r="F63" s="244"/>
      <c r="G63" s="257"/>
      <c r="H63" s="243"/>
      <c r="I63" s="244"/>
      <c r="J63" s="253"/>
      <c r="K63" s="243"/>
      <c r="L63" s="244"/>
      <c r="M63" s="253"/>
      <c r="N63" s="243"/>
      <c r="O63" s="244"/>
      <c r="P63" s="253"/>
      <c r="Q63" s="243"/>
      <c r="R63" s="244"/>
      <c r="S63" s="253"/>
      <c r="T63" s="243"/>
      <c r="U63" s="244"/>
      <c r="V63" s="253"/>
      <c r="W63" s="243"/>
      <c r="X63" s="244"/>
      <c r="Y63" s="253"/>
      <c r="Z63" s="243"/>
      <c r="AA63" s="244"/>
      <c r="AB63" s="253"/>
      <c r="AC63" s="243"/>
      <c r="AD63" s="244"/>
      <c r="AE63" s="246"/>
      <c r="AF63" s="243"/>
      <c r="AG63" s="244"/>
      <c r="AH63" s="246"/>
      <c r="AI63" s="243"/>
      <c r="AJ63" s="244"/>
      <c r="AK63" s="253"/>
      <c r="AL63" s="243"/>
      <c r="AM63" s="244"/>
      <c r="AN63" s="253"/>
      <c r="AO63" s="243"/>
      <c r="AP63" s="244"/>
      <c r="AQ63" s="246"/>
      <c r="AR63" s="243"/>
      <c r="AS63" s="244"/>
      <c r="AT63" s="246"/>
      <c r="AU63" s="243"/>
      <c r="AV63" s="244"/>
      <c r="AW63" s="230"/>
      <c r="AX63" s="232"/>
      <c r="AY63" s="250"/>
      <c r="AZ63" s="236"/>
      <c r="BA63" s="218"/>
      <c r="BB63" s="220"/>
      <c r="BC63" s="242"/>
      <c r="BD63" s="182">
        <f>BI35</f>
        <v>0</v>
      </c>
      <c r="BE63" s="222"/>
      <c r="BF63" s="177"/>
    </row>
    <row r="64" spans="1:66" ht="12.75" customHeight="1" x14ac:dyDescent="0.15">
      <c r="A64" s="173">
        <f>BL36</f>
        <v>29</v>
      </c>
      <c r="B64" s="174"/>
      <c r="C64" s="175"/>
      <c r="D64" s="254"/>
      <c r="E64" s="247"/>
      <c r="F64" s="248"/>
      <c r="G64" s="256"/>
      <c r="H64" s="247"/>
      <c r="I64" s="248"/>
      <c r="J64" s="252"/>
      <c r="K64" s="247"/>
      <c r="L64" s="248"/>
      <c r="M64" s="252"/>
      <c r="N64" s="247"/>
      <c r="O64" s="248"/>
      <c r="P64" s="252"/>
      <c r="Q64" s="247"/>
      <c r="R64" s="248"/>
      <c r="S64" s="252"/>
      <c r="T64" s="247"/>
      <c r="U64" s="248"/>
      <c r="V64" s="252"/>
      <c r="W64" s="247"/>
      <c r="X64" s="248"/>
      <c r="Y64" s="252"/>
      <c r="Z64" s="247"/>
      <c r="AA64" s="248"/>
      <c r="AB64" s="252"/>
      <c r="AC64" s="247"/>
      <c r="AD64" s="248"/>
      <c r="AE64" s="245"/>
      <c r="AF64" s="247"/>
      <c r="AG64" s="248"/>
      <c r="AH64" s="245"/>
      <c r="AI64" s="247"/>
      <c r="AJ64" s="248"/>
      <c r="AK64" s="252"/>
      <c r="AL64" s="247"/>
      <c r="AM64" s="248"/>
      <c r="AN64" s="252"/>
      <c r="AO64" s="247"/>
      <c r="AP64" s="248"/>
      <c r="AQ64" s="245"/>
      <c r="AR64" s="247"/>
      <c r="AS64" s="248"/>
      <c r="AT64" s="245"/>
      <c r="AU64" s="247"/>
      <c r="AV64" s="248"/>
      <c r="AW64" s="229">
        <f t="shared" ref="AW64" si="115">SUM(D64,G64,J64,M64,P64,S64,V64,AK64,AN64,AT64)</f>
        <v>0</v>
      </c>
      <c r="AX64" s="231" t="str">
        <f t="shared" ref="AX64" si="116">IF(AW64=0,"",AVERAGE(D64,G64,J64,M64,P64,S64,V64,AK64,AN64,AT64))</f>
        <v/>
      </c>
      <c r="AY64" s="249">
        <f t="shared" ref="AY64" si="117">RANK(AW64,$AW$8:$AW$103,0)</f>
        <v>1</v>
      </c>
      <c r="AZ64" s="251">
        <f t="shared" ref="AZ64" si="118">$AZ$8</f>
        <v>0</v>
      </c>
      <c r="BA64" s="217">
        <v>0</v>
      </c>
      <c r="BB64" s="219">
        <f t="shared" ref="BB64" si="119">AZ64-BA64</f>
        <v>0</v>
      </c>
      <c r="BC64" s="241">
        <f>BH36</f>
        <v>0</v>
      </c>
      <c r="BD64" s="176">
        <f>BJ36</f>
        <v>0</v>
      </c>
      <c r="BE64" s="221">
        <f>BG36</f>
        <v>0</v>
      </c>
      <c r="BF64" s="177">
        <f t="shared" si="0"/>
        <v>0</v>
      </c>
    </row>
    <row r="65" spans="1:58" ht="12.75" customHeight="1" x14ac:dyDescent="0.15">
      <c r="A65" s="14">
        <f>BM36</f>
        <v>0</v>
      </c>
      <c r="B65" s="180">
        <f>BN36</f>
        <v>0</v>
      </c>
      <c r="C65" s="181"/>
      <c r="D65" s="255"/>
      <c r="E65" s="243"/>
      <c r="F65" s="244"/>
      <c r="G65" s="257"/>
      <c r="H65" s="243"/>
      <c r="I65" s="244"/>
      <c r="J65" s="253"/>
      <c r="K65" s="243"/>
      <c r="L65" s="244"/>
      <c r="M65" s="253"/>
      <c r="N65" s="243"/>
      <c r="O65" s="244"/>
      <c r="P65" s="253"/>
      <c r="Q65" s="243"/>
      <c r="R65" s="244"/>
      <c r="S65" s="253"/>
      <c r="T65" s="243"/>
      <c r="U65" s="244"/>
      <c r="V65" s="253"/>
      <c r="W65" s="243"/>
      <c r="X65" s="244"/>
      <c r="Y65" s="253"/>
      <c r="Z65" s="243"/>
      <c r="AA65" s="244"/>
      <c r="AB65" s="253"/>
      <c r="AC65" s="243"/>
      <c r="AD65" s="244"/>
      <c r="AE65" s="246"/>
      <c r="AF65" s="243"/>
      <c r="AG65" s="244"/>
      <c r="AH65" s="246"/>
      <c r="AI65" s="243"/>
      <c r="AJ65" s="244"/>
      <c r="AK65" s="253"/>
      <c r="AL65" s="243"/>
      <c r="AM65" s="244"/>
      <c r="AN65" s="253"/>
      <c r="AO65" s="243"/>
      <c r="AP65" s="244"/>
      <c r="AQ65" s="246"/>
      <c r="AR65" s="243"/>
      <c r="AS65" s="244"/>
      <c r="AT65" s="246"/>
      <c r="AU65" s="243"/>
      <c r="AV65" s="244"/>
      <c r="AW65" s="230"/>
      <c r="AX65" s="232"/>
      <c r="AY65" s="250"/>
      <c r="AZ65" s="236"/>
      <c r="BA65" s="218"/>
      <c r="BB65" s="220"/>
      <c r="BC65" s="242"/>
      <c r="BD65" s="182">
        <f>BI36</f>
        <v>0</v>
      </c>
      <c r="BE65" s="222"/>
      <c r="BF65" s="177"/>
    </row>
    <row r="66" spans="1:58" ht="12.75" customHeight="1" x14ac:dyDescent="0.15">
      <c r="A66" s="173">
        <f>BL37</f>
        <v>30</v>
      </c>
      <c r="B66" s="174"/>
      <c r="C66" s="175"/>
      <c r="D66" s="254"/>
      <c r="E66" s="247"/>
      <c r="F66" s="248"/>
      <c r="G66" s="256"/>
      <c r="H66" s="247"/>
      <c r="I66" s="248"/>
      <c r="J66" s="252"/>
      <c r="K66" s="247"/>
      <c r="L66" s="248"/>
      <c r="M66" s="252"/>
      <c r="N66" s="247"/>
      <c r="O66" s="248"/>
      <c r="P66" s="252"/>
      <c r="Q66" s="247"/>
      <c r="R66" s="248"/>
      <c r="S66" s="252"/>
      <c r="T66" s="247"/>
      <c r="U66" s="248"/>
      <c r="V66" s="252"/>
      <c r="W66" s="247"/>
      <c r="X66" s="248"/>
      <c r="Y66" s="252"/>
      <c r="Z66" s="247"/>
      <c r="AA66" s="248"/>
      <c r="AB66" s="252"/>
      <c r="AC66" s="247"/>
      <c r="AD66" s="248"/>
      <c r="AE66" s="245"/>
      <c r="AF66" s="247"/>
      <c r="AG66" s="248"/>
      <c r="AH66" s="245"/>
      <c r="AI66" s="247"/>
      <c r="AJ66" s="248"/>
      <c r="AK66" s="252"/>
      <c r="AL66" s="247"/>
      <c r="AM66" s="248"/>
      <c r="AN66" s="252"/>
      <c r="AO66" s="247"/>
      <c r="AP66" s="248"/>
      <c r="AQ66" s="245"/>
      <c r="AR66" s="247"/>
      <c r="AS66" s="248"/>
      <c r="AT66" s="245"/>
      <c r="AU66" s="247"/>
      <c r="AV66" s="248"/>
      <c r="AW66" s="229">
        <f t="shared" ref="AW66" si="120">SUM(D66,G66,J66,M66,P66,S66,V66,AK66,AN66,AT66)</f>
        <v>0</v>
      </c>
      <c r="AX66" s="231" t="str">
        <f t="shared" ref="AX66" si="121">IF(AW66=0,"",AVERAGE(D66,G66,J66,M66,P66,S66,V66,AK66,AN66,AT66))</f>
        <v/>
      </c>
      <c r="AY66" s="249">
        <f t="shared" ref="AY66" si="122">RANK(AW66,$AW$8:$AW$103,0)</f>
        <v>1</v>
      </c>
      <c r="AZ66" s="251">
        <f t="shared" ref="AZ66" si="123">$AZ$8</f>
        <v>0</v>
      </c>
      <c r="BA66" s="217">
        <v>0</v>
      </c>
      <c r="BB66" s="219">
        <f t="shared" ref="BB66" si="124">AZ66-BA66</f>
        <v>0</v>
      </c>
      <c r="BC66" s="241">
        <f>BH37</f>
        <v>0</v>
      </c>
      <c r="BD66" s="176">
        <f>BJ37</f>
        <v>0</v>
      </c>
      <c r="BE66" s="221">
        <f>BG37</f>
        <v>0</v>
      </c>
      <c r="BF66" s="177">
        <f t="shared" si="0"/>
        <v>0</v>
      </c>
    </row>
    <row r="67" spans="1:58" ht="12.75" customHeight="1" x14ac:dyDescent="0.15">
      <c r="A67" s="14">
        <f>BM37</f>
        <v>0</v>
      </c>
      <c r="B67" s="180">
        <f>BN37</f>
        <v>0</v>
      </c>
      <c r="C67" s="181"/>
      <c r="D67" s="255"/>
      <c r="E67" s="243"/>
      <c r="F67" s="244"/>
      <c r="G67" s="257"/>
      <c r="H67" s="243"/>
      <c r="I67" s="244"/>
      <c r="J67" s="253"/>
      <c r="K67" s="243"/>
      <c r="L67" s="244"/>
      <c r="M67" s="253"/>
      <c r="N67" s="243"/>
      <c r="O67" s="244"/>
      <c r="P67" s="253"/>
      <c r="Q67" s="243"/>
      <c r="R67" s="244"/>
      <c r="S67" s="253"/>
      <c r="T67" s="243"/>
      <c r="U67" s="244"/>
      <c r="V67" s="253"/>
      <c r="W67" s="243"/>
      <c r="X67" s="244"/>
      <c r="Y67" s="253"/>
      <c r="Z67" s="243"/>
      <c r="AA67" s="244"/>
      <c r="AB67" s="253"/>
      <c r="AC67" s="243"/>
      <c r="AD67" s="244"/>
      <c r="AE67" s="246"/>
      <c r="AF67" s="243"/>
      <c r="AG67" s="244"/>
      <c r="AH67" s="246"/>
      <c r="AI67" s="243"/>
      <c r="AJ67" s="244"/>
      <c r="AK67" s="253"/>
      <c r="AL67" s="243"/>
      <c r="AM67" s="244"/>
      <c r="AN67" s="253"/>
      <c r="AO67" s="243"/>
      <c r="AP67" s="244"/>
      <c r="AQ67" s="246"/>
      <c r="AR67" s="243"/>
      <c r="AS67" s="244"/>
      <c r="AT67" s="246"/>
      <c r="AU67" s="243"/>
      <c r="AV67" s="244"/>
      <c r="AW67" s="230"/>
      <c r="AX67" s="232"/>
      <c r="AY67" s="250"/>
      <c r="AZ67" s="236"/>
      <c r="BA67" s="218"/>
      <c r="BB67" s="220"/>
      <c r="BC67" s="242"/>
      <c r="BD67" s="182">
        <f>BI37</f>
        <v>0</v>
      </c>
      <c r="BE67" s="222"/>
      <c r="BF67" s="177"/>
    </row>
    <row r="68" spans="1:58" ht="12.75" customHeight="1" x14ac:dyDescent="0.15">
      <c r="A68" s="173">
        <f>BL38</f>
        <v>31</v>
      </c>
      <c r="B68" s="174"/>
      <c r="C68" s="175"/>
      <c r="D68" s="254"/>
      <c r="E68" s="247"/>
      <c r="F68" s="248"/>
      <c r="G68" s="256"/>
      <c r="H68" s="247"/>
      <c r="I68" s="248"/>
      <c r="J68" s="252"/>
      <c r="K68" s="247"/>
      <c r="L68" s="248"/>
      <c r="M68" s="252"/>
      <c r="N68" s="247"/>
      <c r="O68" s="248"/>
      <c r="P68" s="252"/>
      <c r="Q68" s="247"/>
      <c r="R68" s="248"/>
      <c r="S68" s="252"/>
      <c r="T68" s="247"/>
      <c r="U68" s="248"/>
      <c r="V68" s="252"/>
      <c r="W68" s="247"/>
      <c r="X68" s="248"/>
      <c r="Y68" s="252"/>
      <c r="Z68" s="247"/>
      <c r="AA68" s="248"/>
      <c r="AB68" s="252"/>
      <c r="AC68" s="247"/>
      <c r="AD68" s="248"/>
      <c r="AE68" s="245"/>
      <c r="AF68" s="247"/>
      <c r="AG68" s="248"/>
      <c r="AH68" s="245"/>
      <c r="AI68" s="247"/>
      <c r="AJ68" s="248"/>
      <c r="AK68" s="252"/>
      <c r="AL68" s="247"/>
      <c r="AM68" s="248"/>
      <c r="AN68" s="252"/>
      <c r="AO68" s="247"/>
      <c r="AP68" s="248"/>
      <c r="AQ68" s="245"/>
      <c r="AR68" s="247"/>
      <c r="AS68" s="248"/>
      <c r="AT68" s="245"/>
      <c r="AU68" s="247"/>
      <c r="AV68" s="248"/>
      <c r="AW68" s="229">
        <f t="shared" ref="AW68" si="125">SUM(D68,G68,J68,M68,P68,S68,V68,AK68,AN68,AT68)</f>
        <v>0</v>
      </c>
      <c r="AX68" s="231" t="str">
        <f t="shared" ref="AX68" si="126">IF(AW68=0,"",AVERAGE(D68,G68,J68,M68,P68,S68,V68,AK68,AN68,AT68))</f>
        <v/>
      </c>
      <c r="AY68" s="249">
        <f t="shared" ref="AY68" si="127">RANK(AW68,$AW$8:$AW$103,0)</f>
        <v>1</v>
      </c>
      <c r="AZ68" s="251">
        <f t="shared" ref="AZ68" si="128">$AZ$8</f>
        <v>0</v>
      </c>
      <c r="BA68" s="217">
        <v>0</v>
      </c>
      <c r="BB68" s="219">
        <f t="shared" ref="BB68" si="129">AZ68-BA68</f>
        <v>0</v>
      </c>
      <c r="BC68" s="241">
        <f>BH38</f>
        <v>0</v>
      </c>
      <c r="BD68" s="176">
        <f>BJ38</f>
        <v>0</v>
      </c>
      <c r="BE68" s="221">
        <f>BG38</f>
        <v>0</v>
      </c>
      <c r="BF68" s="177">
        <f t="shared" si="0"/>
        <v>0</v>
      </c>
    </row>
    <row r="69" spans="1:58" ht="12.75" customHeight="1" x14ac:dyDescent="0.15">
      <c r="A69" s="14">
        <f>BM38</f>
        <v>0</v>
      </c>
      <c r="B69" s="180">
        <f>BN38</f>
        <v>0</v>
      </c>
      <c r="C69" s="181"/>
      <c r="D69" s="255"/>
      <c r="E69" s="243"/>
      <c r="F69" s="244"/>
      <c r="G69" s="257"/>
      <c r="H69" s="243"/>
      <c r="I69" s="244"/>
      <c r="J69" s="253"/>
      <c r="K69" s="243"/>
      <c r="L69" s="244"/>
      <c r="M69" s="253"/>
      <c r="N69" s="243"/>
      <c r="O69" s="244"/>
      <c r="P69" s="253"/>
      <c r="Q69" s="243"/>
      <c r="R69" s="244"/>
      <c r="S69" s="253"/>
      <c r="T69" s="243"/>
      <c r="U69" s="244"/>
      <c r="V69" s="253"/>
      <c r="W69" s="243"/>
      <c r="X69" s="244"/>
      <c r="Y69" s="253"/>
      <c r="Z69" s="243"/>
      <c r="AA69" s="244"/>
      <c r="AB69" s="253"/>
      <c r="AC69" s="243"/>
      <c r="AD69" s="244"/>
      <c r="AE69" s="246"/>
      <c r="AF69" s="243"/>
      <c r="AG69" s="244"/>
      <c r="AH69" s="246"/>
      <c r="AI69" s="243"/>
      <c r="AJ69" s="244"/>
      <c r="AK69" s="253"/>
      <c r="AL69" s="243"/>
      <c r="AM69" s="244"/>
      <c r="AN69" s="253"/>
      <c r="AO69" s="243"/>
      <c r="AP69" s="244"/>
      <c r="AQ69" s="246"/>
      <c r="AR69" s="243"/>
      <c r="AS69" s="244"/>
      <c r="AT69" s="246"/>
      <c r="AU69" s="243"/>
      <c r="AV69" s="244"/>
      <c r="AW69" s="230"/>
      <c r="AX69" s="232"/>
      <c r="AY69" s="250"/>
      <c r="AZ69" s="236"/>
      <c r="BA69" s="218"/>
      <c r="BB69" s="220"/>
      <c r="BC69" s="242"/>
      <c r="BD69" s="182">
        <f>BI38</f>
        <v>0</v>
      </c>
      <c r="BE69" s="222"/>
      <c r="BF69" s="177"/>
    </row>
    <row r="70" spans="1:58" ht="12.75" customHeight="1" x14ac:dyDescent="0.15">
      <c r="A70" s="173">
        <f>BL39</f>
        <v>32</v>
      </c>
      <c r="B70" s="174"/>
      <c r="C70" s="175"/>
      <c r="D70" s="254"/>
      <c r="E70" s="247"/>
      <c r="F70" s="248"/>
      <c r="G70" s="256"/>
      <c r="H70" s="247"/>
      <c r="I70" s="248"/>
      <c r="J70" s="252"/>
      <c r="K70" s="247"/>
      <c r="L70" s="248"/>
      <c r="M70" s="252"/>
      <c r="N70" s="247"/>
      <c r="O70" s="248"/>
      <c r="P70" s="252"/>
      <c r="Q70" s="247"/>
      <c r="R70" s="248"/>
      <c r="S70" s="252"/>
      <c r="T70" s="247"/>
      <c r="U70" s="248"/>
      <c r="V70" s="252"/>
      <c r="W70" s="247"/>
      <c r="X70" s="248"/>
      <c r="Y70" s="252"/>
      <c r="Z70" s="247"/>
      <c r="AA70" s="248"/>
      <c r="AB70" s="252"/>
      <c r="AC70" s="247"/>
      <c r="AD70" s="248"/>
      <c r="AE70" s="245"/>
      <c r="AF70" s="247"/>
      <c r="AG70" s="248"/>
      <c r="AH70" s="245"/>
      <c r="AI70" s="247"/>
      <c r="AJ70" s="248"/>
      <c r="AK70" s="252"/>
      <c r="AL70" s="247"/>
      <c r="AM70" s="248"/>
      <c r="AN70" s="252"/>
      <c r="AO70" s="247"/>
      <c r="AP70" s="248"/>
      <c r="AQ70" s="245"/>
      <c r="AR70" s="247"/>
      <c r="AS70" s="248"/>
      <c r="AT70" s="245"/>
      <c r="AU70" s="247"/>
      <c r="AV70" s="248"/>
      <c r="AW70" s="229">
        <f t="shared" ref="AW70" si="130">SUM(D70,G70,J70,M70,P70,S70,V70,AK70,AN70,AT70)</f>
        <v>0</v>
      </c>
      <c r="AX70" s="231" t="str">
        <f t="shared" ref="AX70" si="131">IF(AW70=0,"",AVERAGE(D70,G70,J70,M70,P70,S70,V70,AK70,AN70,AT70))</f>
        <v/>
      </c>
      <c r="AY70" s="249">
        <f t="shared" ref="AY70" si="132">RANK(AW70,$AW$8:$AW$103,0)</f>
        <v>1</v>
      </c>
      <c r="AZ70" s="251">
        <f t="shared" ref="AZ70" si="133">$AZ$8</f>
        <v>0</v>
      </c>
      <c r="BA70" s="217">
        <v>0</v>
      </c>
      <c r="BB70" s="219">
        <f t="shared" ref="BB70" si="134">AZ70-BA70</f>
        <v>0</v>
      </c>
      <c r="BC70" s="241">
        <f>BH39</f>
        <v>0</v>
      </c>
      <c r="BD70" s="176">
        <f>BJ39</f>
        <v>0</v>
      </c>
      <c r="BE70" s="221">
        <f>BG39</f>
        <v>0</v>
      </c>
      <c r="BF70" s="177">
        <f t="shared" si="0"/>
        <v>0</v>
      </c>
    </row>
    <row r="71" spans="1:58" ht="12.75" customHeight="1" x14ac:dyDescent="0.15">
      <c r="A71" s="14">
        <f>BM39</f>
        <v>0</v>
      </c>
      <c r="B71" s="180">
        <f>BN39</f>
        <v>0</v>
      </c>
      <c r="C71" s="181"/>
      <c r="D71" s="255"/>
      <c r="E71" s="243"/>
      <c r="F71" s="244"/>
      <c r="G71" s="257"/>
      <c r="H71" s="243"/>
      <c r="I71" s="244"/>
      <c r="J71" s="253"/>
      <c r="K71" s="243"/>
      <c r="L71" s="244"/>
      <c r="M71" s="253"/>
      <c r="N71" s="243"/>
      <c r="O71" s="244"/>
      <c r="P71" s="253"/>
      <c r="Q71" s="243"/>
      <c r="R71" s="244"/>
      <c r="S71" s="253"/>
      <c r="T71" s="243"/>
      <c r="U71" s="244"/>
      <c r="V71" s="253"/>
      <c r="W71" s="243"/>
      <c r="X71" s="244"/>
      <c r="Y71" s="253"/>
      <c r="Z71" s="243"/>
      <c r="AA71" s="244"/>
      <c r="AB71" s="253"/>
      <c r="AC71" s="243"/>
      <c r="AD71" s="244"/>
      <c r="AE71" s="246"/>
      <c r="AF71" s="243"/>
      <c r="AG71" s="244"/>
      <c r="AH71" s="246"/>
      <c r="AI71" s="243"/>
      <c r="AJ71" s="244"/>
      <c r="AK71" s="253"/>
      <c r="AL71" s="243"/>
      <c r="AM71" s="244"/>
      <c r="AN71" s="253"/>
      <c r="AO71" s="243"/>
      <c r="AP71" s="244"/>
      <c r="AQ71" s="246"/>
      <c r="AR71" s="243"/>
      <c r="AS71" s="244"/>
      <c r="AT71" s="246"/>
      <c r="AU71" s="243"/>
      <c r="AV71" s="244"/>
      <c r="AW71" s="230"/>
      <c r="AX71" s="232"/>
      <c r="AY71" s="250"/>
      <c r="AZ71" s="236"/>
      <c r="BA71" s="218"/>
      <c r="BB71" s="220"/>
      <c r="BC71" s="242"/>
      <c r="BD71" s="182">
        <f>BI39</f>
        <v>0</v>
      </c>
      <c r="BE71" s="222"/>
      <c r="BF71" s="177"/>
    </row>
    <row r="72" spans="1:58" ht="12.75" customHeight="1" x14ac:dyDescent="0.15">
      <c r="A72" s="187">
        <f>BL40</f>
        <v>33</v>
      </c>
      <c r="B72" s="188"/>
      <c r="C72" s="185"/>
      <c r="D72" s="254"/>
      <c r="E72" s="247"/>
      <c r="F72" s="248"/>
      <c r="G72" s="256"/>
      <c r="H72" s="247"/>
      <c r="I72" s="248"/>
      <c r="J72" s="252"/>
      <c r="K72" s="247"/>
      <c r="L72" s="248"/>
      <c r="M72" s="252"/>
      <c r="N72" s="247"/>
      <c r="O72" s="248"/>
      <c r="P72" s="252"/>
      <c r="Q72" s="247"/>
      <c r="R72" s="248"/>
      <c r="S72" s="252"/>
      <c r="T72" s="247"/>
      <c r="U72" s="248"/>
      <c r="V72" s="252"/>
      <c r="W72" s="247"/>
      <c r="X72" s="248"/>
      <c r="Y72" s="252"/>
      <c r="Z72" s="247"/>
      <c r="AA72" s="248"/>
      <c r="AB72" s="252"/>
      <c r="AC72" s="247"/>
      <c r="AD72" s="248"/>
      <c r="AE72" s="245"/>
      <c r="AF72" s="247"/>
      <c r="AG72" s="248"/>
      <c r="AH72" s="245"/>
      <c r="AI72" s="247"/>
      <c r="AJ72" s="248"/>
      <c r="AK72" s="252"/>
      <c r="AL72" s="247"/>
      <c r="AM72" s="248"/>
      <c r="AN72" s="252"/>
      <c r="AO72" s="247"/>
      <c r="AP72" s="248"/>
      <c r="AQ72" s="245"/>
      <c r="AR72" s="247"/>
      <c r="AS72" s="248"/>
      <c r="AT72" s="245"/>
      <c r="AU72" s="247"/>
      <c r="AV72" s="248"/>
      <c r="AW72" s="229">
        <f t="shared" ref="AW72" si="135">SUM(D72,G72,J72,M72,P72,S72,V72,AK72,AN72,AT72)</f>
        <v>0</v>
      </c>
      <c r="AX72" s="231" t="str">
        <f t="shared" ref="AX72" si="136">IF(AW72=0,"",AVERAGE(D72,G72,J72,M72,P72,S72,V72,AK72,AN72,AT72))</f>
        <v/>
      </c>
      <c r="AY72" s="249">
        <f t="shared" ref="AY72" si="137">RANK(AW72,$AW$8:$AW$103,0)</f>
        <v>1</v>
      </c>
      <c r="AZ72" s="251">
        <f t="shared" ref="AZ72" si="138">$AZ$8</f>
        <v>0</v>
      </c>
      <c r="BA72" s="217">
        <v>0</v>
      </c>
      <c r="BB72" s="219">
        <f t="shared" ref="BB72" si="139">AZ72-BA72</f>
        <v>0</v>
      </c>
      <c r="BC72" s="241">
        <f>BH40</f>
        <v>0</v>
      </c>
      <c r="BD72" s="176">
        <f>BJ40</f>
        <v>0</v>
      </c>
      <c r="BE72" s="221">
        <f>BG40</f>
        <v>0</v>
      </c>
      <c r="BF72" s="177">
        <f t="shared" si="0"/>
        <v>0</v>
      </c>
    </row>
    <row r="73" spans="1:58" ht="12.75" customHeight="1" x14ac:dyDescent="0.15">
      <c r="A73" s="189">
        <f>BM40</f>
        <v>0</v>
      </c>
      <c r="B73" s="190">
        <f>BN40</f>
        <v>0</v>
      </c>
      <c r="C73" s="186"/>
      <c r="D73" s="255"/>
      <c r="E73" s="243"/>
      <c r="F73" s="244"/>
      <c r="G73" s="257"/>
      <c r="H73" s="243"/>
      <c r="I73" s="244"/>
      <c r="J73" s="253"/>
      <c r="K73" s="243"/>
      <c r="L73" s="244"/>
      <c r="M73" s="253"/>
      <c r="N73" s="243"/>
      <c r="O73" s="244"/>
      <c r="P73" s="253"/>
      <c r="Q73" s="243"/>
      <c r="R73" s="244"/>
      <c r="S73" s="253"/>
      <c r="T73" s="243"/>
      <c r="U73" s="244"/>
      <c r="V73" s="253"/>
      <c r="W73" s="243"/>
      <c r="X73" s="244"/>
      <c r="Y73" s="253"/>
      <c r="Z73" s="243"/>
      <c r="AA73" s="244"/>
      <c r="AB73" s="253"/>
      <c r="AC73" s="243"/>
      <c r="AD73" s="244"/>
      <c r="AE73" s="246"/>
      <c r="AF73" s="243"/>
      <c r="AG73" s="244"/>
      <c r="AH73" s="246"/>
      <c r="AI73" s="243"/>
      <c r="AJ73" s="244"/>
      <c r="AK73" s="253"/>
      <c r="AL73" s="243"/>
      <c r="AM73" s="244"/>
      <c r="AN73" s="253"/>
      <c r="AO73" s="243"/>
      <c r="AP73" s="244"/>
      <c r="AQ73" s="246"/>
      <c r="AR73" s="243"/>
      <c r="AS73" s="244"/>
      <c r="AT73" s="246"/>
      <c r="AU73" s="243"/>
      <c r="AV73" s="244"/>
      <c r="AW73" s="230"/>
      <c r="AX73" s="232"/>
      <c r="AY73" s="250"/>
      <c r="AZ73" s="236"/>
      <c r="BA73" s="218"/>
      <c r="BB73" s="220"/>
      <c r="BC73" s="242"/>
      <c r="BD73" s="182">
        <f>BI40</f>
        <v>0</v>
      </c>
      <c r="BE73" s="222"/>
      <c r="BF73" s="177"/>
    </row>
    <row r="74" spans="1:58" ht="12.75" customHeight="1" x14ac:dyDescent="0.15">
      <c r="A74" s="187">
        <f>BL41</f>
        <v>34</v>
      </c>
      <c r="B74" s="188"/>
      <c r="C74" s="185"/>
      <c r="D74" s="254"/>
      <c r="E74" s="247"/>
      <c r="F74" s="248"/>
      <c r="G74" s="256"/>
      <c r="H74" s="247"/>
      <c r="I74" s="248"/>
      <c r="J74" s="252"/>
      <c r="K74" s="247"/>
      <c r="L74" s="248"/>
      <c r="M74" s="252"/>
      <c r="N74" s="247"/>
      <c r="O74" s="248"/>
      <c r="P74" s="252"/>
      <c r="Q74" s="247"/>
      <c r="R74" s="248"/>
      <c r="S74" s="252"/>
      <c r="T74" s="247"/>
      <c r="U74" s="248"/>
      <c r="V74" s="252"/>
      <c r="W74" s="247"/>
      <c r="X74" s="248"/>
      <c r="Y74" s="252"/>
      <c r="Z74" s="247"/>
      <c r="AA74" s="248"/>
      <c r="AB74" s="252"/>
      <c r="AC74" s="247"/>
      <c r="AD74" s="248"/>
      <c r="AE74" s="245"/>
      <c r="AF74" s="247"/>
      <c r="AG74" s="248"/>
      <c r="AH74" s="245"/>
      <c r="AI74" s="247"/>
      <c r="AJ74" s="248"/>
      <c r="AK74" s="252"/>
      <c r="AL74" s="247"/>
      <c r="AM74" s="248"/>
      <c r="AN74" s="252"/>
      <c r="AO74" s="247"/>
      <c r="AP74" s="248"/>
      <c r="AQ74" s="245"/>
      <c r="AR74" s="247"/>
      <c r="AS74" s="248"/>
      <c r="AT74" s="245"/>
      <c r="AU74" s="247"/>
      <c r="AV74" s="248"/>
      <c r="AW74" s="229">
        <f t="shared" ref="AW74" si="140">SUM(D74,G74,J74,M74,P74,S74,V74,AK74,AN74,AT74)</f>
        <v>0</v>
      </c>
      <c r="AX74" s="231" t="str">
        <f t="shared" ref="AX74" si="141">IF(AW74=0,"",AVERAGE(D74,G74,J74,M74,P74,S74,V74,AK74,AN74,AT74))</f>
        <v/>
      </c>
      <c r="AY74" s="249">
        <f t="shared" ref="AY74" si="142">RANK(AW74,$AW$8:$AW$103,0)</f>
        <v>1</v>
      </c>
      <c r="AZ74" s="251">
        <f t="shared" ref="AZ74" si="143">$AZ$8</f>
        <v>0</v>
      </c>
      <c r="BA74" s="217">
        <v>0</v>
      </c>
      <c r="BB74" s="219">
        <f t="shared" ref="BB74" si="144">AZ74-BA74</f>
        <v>0</v>
      </c>
      <c r="BC74" s="241">
        <f>BH42</f>
        <v>0</v>
      </c>
      <c r="BD74" s="176">
        <f>BJ41</f>
        <v>0</v>
      </c>
      <c r="BE74" s="221">
        <f>BG41</f>
        <v>0</v>
      </c>
      <c r="BF74" s="177">
        <f t="shared" ref="BF74:BF102" si="145">BB74-(((BB74*4)*BE74)/4)</f>
        <v>0</v>
      </c>
    </row>
    <row r="75" spans="1:58" ht="12.75" customHeight="1" x14ac:dyDescent="0.15">
      <c r="A75" s="189">
        <f>BM41</f>
        <v>0</v>
      </c>
      <c r="B75" s="190">
        <f>BN41</f>
        <v>0</v>
      </c>
      <c r="C75" s="186"/>
      <c r="D75" s="255"/>
      <c r="E75" s="243"/>
      <c r="F75" s="244"/>
      <c r="G75" s="257"/>
      <c r="H75" s="243"/>
      <c r="I75" s="244"/>
      <c r="J75" s="253"/>
      <c r="K75" s="243"/>
      <c r="L75" s="244"/>
      <c r="M75" s="253"/>
      <c r="N75" s="243"/>
      <c r="O75" s="244"/>
      <c r="P75" s="253"/>
      <c r="Q75" s="243"/>
      <c r="R75" s="244"/>
      <c r="S75" s="253"/>
      <c r="T75" s="243"/>
      <c r="U75" s="244"/>
      <c r="V75" s="253"/>
      <c r="W75" s="243"/>
      <c r="X75" s="244"/>
      <c r="Y75" s="253"/>
      <c r="Z75" s="243"/>
      <c r="AA75" s="244"/>
      <c r="AB75" s="253"/>
      <c r="AC75" s="243"/>
      <c r="AD75" s="244"/>
      <c r="AE75" s="246"/>
      <c r="AF75" s="243"/>
      <c r="AG75" s="244"/>
      <c r="AH75" s="246"/>
      <c r="AI75" s="243"/>
      <c r="AJ75" s="244"/>
      <c r="AK75" s="253"/>
      <c r="AL75" s="243"/>
      <c r="AM75" s="244"/>
      <c r="AN75" s="253"/>
      <c r="AO75" s="243"/>
      <c r="AP75" s="244"/>
      <c r="AQ75" s="246"/>
      <c r="AR75" s="243"/>
      <c r="AS75" s="244"/>
      <c r="AT75" s="246"/>
      <c r="AU75" s="243"/>
      <c r="AV75" s="244"/>
      <c r="AW75" s="230"/>
      <c r="AX75" s="232"/>
      <c r="AY75" s="250"/>
      <c r="AZ75" s="236"/>
      <c r="BA75" s="218"/>
      <c r="BB75" s="220"/>
      <c r="BC75" s="242"/>
      <c r="BD75" s="182">
        <f>BI41</f>
        <v>0</v>
      </c>
      <c r="BE75" s="222"/>
      <c r="BF75" s="177"/>
    </row>
    <row r="76" spans="1:58" ht="12.75" customHeight="1" x14ac:dyDescent="0.15">
      <c r="A76" s="187">
        <f>BL42</f>
        <v>35</v>
      </c>
      <c r="B76" s="174"/>
      <c r="C76" s="185"/>
      <c r="D76" s="254"/>
      <c r="E76" s="247"/>
      <c r="F76" s="248"/>
      <c r="G76" s="256"/>
      <c r="H76" s="247"/>
      <c r="I76" s="248"/>
      <c r="J76" s="252"/>
      <c r="K76" s="247"/>
      <c r="L76" s="248"/>
      <c r="M76" s="252"/>
      <c r="N76" s="247"/>
      <c r="O76" s="248"/>
      <c r="P76" s="252"/>
      <c r="Q76" s="247"/>
      <c r="R76" s="248"/>
      <c r="S76" s="252"/>
      <c r="T76" s="247"/>
      <c r="U76" s="248"/>
      <c r="V76" s="252"/>
      <c r="W76" s="247"/>
      <c r="X76" s="248"/>
      <c r="Y76" s="252"/>
      <c r="Z76" s="247"/>
      <c r="AA76" s="248"/>
      <c r="AB76" s="252"/>
      <c r="AC76" s="247"/>
      <c r="AD76" s="248"/>
      <c r="AE76" s="245"/>
      <c r="AF76" s="247"/>
      <c r="AG76" s="248"/>
      <c r="AH76" s="245"/>
      <c r="AI76" s="247"/>
      <c r="AJ76" s="248"/>
      <c r="AK76" s="252"/>
      <c r="AL76" s="247"/>
      <c r="AM76" s="248"/>
      <c r="AN76" s="252"/>
      <c r="AO76" s="247"/>
      <c r="AP76" s="248"/>
      <c r="AQ76" s="245"/>
      <c r="AR76" s="247"/>
      <c r="AS76" s="248"/>
      <c r="AT76" s="245"/>
      <c r="AU76" s="247"/>
      <c r="AV76" s="248"/>
      <c r="AW76" s="229">
        <f t="shared" ref="AW76" si="146">SUM(D76,G76,J76,M76,P76,S76,V76,AK76,AN76,AT76)</f>
        <v>0</v>
      </c>
      <c r="AX76" s="231" t="str">
        <f t="shared" ref="AX76" si="147">IF(AW76=0,"",AVERAGE(D76,G76,J76,M76,P76,S76,V76,AK76,AN76,AT76))</f>
        <v/>
      </c>
      <c r="AY76" s="249">
        <f t="shared" ref="AY76" si="148">RANK(AW76,$AW$8:$AW$103,0)</f>
        <v>1</v>
      </c>
      <c r="AZ76" s="251">
        <f t="shared" ref="AZ76" si="149">$AZ$8</f>
        <v>0</v>
      </c>
      <c r="BA76" s="217">
        <v>0</v>
      </c>
      <c r="BB76" s="219">
        <f t="shared" ref="BB76" si="150">AZ76-BA76</f>
        <v>0</v>
      </c>
      <c r="BC76" s="241">
        <f>BH44</f>
        <v>0</v>
      </c>
      <c r="BD76" s="176">
        <f>BJ42</f>
        <v>0</v>
      </c>
      <c r="BE76" s="221">
        <f>BG42</f>
        <v>0</v>
      </c>
      <c r="BF76" s="177">
        <f t="shared" si="145"/>
        <v>0</v>
      </c>
    </row>
    <row r="77" spans="1:58" ht="12.75" customHeight="1" x14ac:dyDescent="0.15">
      <c r="A77" s="189">
        <f>BM42</f>
        <v>0</v>
      </c>
      <c r="B77" s="180">
        <f>BN42</f>
        <v>0</v>
      </c>
      <c r="C77" s="186"/>
      <c r="D77" s="255"/>
      <c r="E77" s="243"/>
      <c r="F77" s="244"/>
      <c r="G77" s="257"/>
      <c r="H77" s="243"/>
      <c r="I77" s="244"/>
      <c r="J77" s="253"/>
      <c r="K77" s="243"/>
      <c r="L77" s="244"/>
      <c r="M77" s="253"/>
      <c r="N77" s="243"/>
      <c r="O77" s="244"/>
      <c r="P77" s="253"/>
      <c r="Q77" s="243"/>
      <c r="R77" s="244"/>
      <c r="S77" s="253"/>
      <c r="T77" s="243"/>
      <c r="U77" s="244"/>
      <c r="V77" s="253"/>
      <c r="W77" s="243"/>
      <c r="X77" s="244"/>
      <c r="Y77" s="253"/>
      <c r="Z77" s="243"/>
      <c r="AA77" s="244"/>
      <c r="AB77" s="253"/>
      <c r="AC77" s="243"/>
      <c r="AD77" s="244"/>
      <c r="AE77" s="246"/>
      <c r="AF77" s="243"/>
      <c r="AG77" s="244"/>
      <c r="AH77" s="246"/>
      <c r="AI77" s="243"/>
      <c r="AJ77" s="244"/>
      <c r="AK77" s="253"/>
      <c r="AL77" s="243"/>
      <c r="AM77" s="244"/>
      <c r="AN77" s="253"/>
      <c r="AO77" s="243"/>
      <c r="AP77" s="244"/>
      <c r="AQ77" s="246"/>
      <c r="AR77" s="243"/>
      <c r="AS77" s="244"/>
      <c r="AT77" s="246"/>
      <c r="AU77" s="243"/>
      <c r="AV77" s="244"/>
      <c r="AW77" s="230"/>
      <c r="AX77" s="232"/>
      <c r="AY77" s="250"/>
      <c r="AZ77" s="236"/>
      <c r="BA77" s="218"/>
      <c r="BB77" s="220"/>
      <c r="BC77" s="242"/>
      <c r="BD77" s="182">
        <f>BI42</f>
        <v>0</v>
      </c>
      <c r="BE77" s="222"/>
      <c r="BF77" s="177"/>
    </row>
    <row r="78" spans="1:58" ht="12.75" customHeight="1" x14ac:dyDescent="0.15">
      <c r="A78" s="187">
        <f>BL43</f>
        <v>36</v>
      </c>
      <c r="B78" s="174"/>
      <c r="C78" s="185"/>
      <c r="D78" s="254"/>
      <c r="E78" s="247"/>
      <c r="F78" s="248"/>
      <c r="G78" s="256"/>
      <c r="H78" s="247"/>
      <c r="I78" s="248"/>
      <c r="J78" s="252"/>
      <c r="K78" s="247"/>
      <c r="L78" s="248"/>
      <c r="M78" s="252"/>
      <c r="N78" s="247"/>
      <c r="O78" s="248"/>
      <c r="P78" s="252"/>
      <c r="Q78" s="247"/>
      <c r="R78" s="248"/>
      <c r="S78" s="252"/>
      <c r="T78" s="247"/>
      <c r="U78" s="248"/>
      <c r="V78" s="252"/>
      <c r="W78" s="247"/>
      <c r="X78" s="248"/>
      <c r="Y78" s="252"/>
      <c r="Z78" s="247"/>
      <c r="AA78" s="248"/>
      <c r="AB78" s="252"/>
      <c r="AC78" s="247"/>
      <c r="AD78" s="248"/>
      <c r="AE78" s="245"/>
      <c r="AF78" s="247"/>
      <c r="AG78" s="248"/>
      <c r="AH78" s="245"/>
      <c r="AI78" s="247"/>
      <c r="AJ78" s="248"/>
      <c r="AK78" s="252"/>
      <c r="AL78" s="247"/>
      <c r="AM78" s="248"/>
      <c r="AN78" s="252"/>
      <c r="AO78" s="247"/>
      <c r="AP78" s="248"/>
      <c r="AQ78" s="245"/>
      <c r="AR78" s="247"/>
      <c r="AS78" s="248"/>
      <c r="AT78" s="245"/>
      <c r="AU78" s="247"/>
      <c r="AV78" s="248"/>
      <c r="AW78" s="229">
        <f t="shared" ref="AW78" si="151">SUM(D78,G78,J78,M78,P78,S78,V78,AK78,AN78,AT78)</f>
        <v>0</v>
      </c>
      <c r="AX78" s="231" t="str">
        <f t="shared" ref="AX78" si="152">IF(AW78=0,"",AVERAGE(D78,G78,J78,M78,P78,S78,V78,AK78,AN78,AT78))</f>
        <v/>
      </c>
      <c r="AY78" s="249">
        <f t="shared" ref="AY78" si="153">RANK(AW78,$AW$8:$AW$103,0)</f>
        <v>1</v>
      </c>
      <c r="AZ78" s="251">
        <f t="shared" ref="AZ78" si="154">$AZ$8</f>
        <v>0</v>
      </c>
      <c r="BA78" s="217">
        <v>0</v>
      </c>
      <c r="BB78" s="219">
        <f t="shared" ref="BB78" si="155">AZ78-BA78</f>
        <v>0</v>
      </c>
      <c r="BC78" s="241">
        <f>BH46</f>
        <v>0</v>
      </c>
      <c r="BD78" s="176">
        <f>BJ43</f>
        <v>0</v>
      </c>
      <c r="BE78" s="221">
        <f>BG43</f>
        <v>0</v>
      </c>
      <c r="BF78" s="177">
        <f t="shared" si="145"/>
        <v>0</v>
      </c>
    </row>
    <row r="79" spans="1:58" ht="12.75" customHeight="1" x14ac:dyDescent="0.15">
      <c r="A79" s="189">
        <f>BM43</f>
        <v>0</v>
      </c>
      <c r="B79" s="180">
        <f>BN43</f>
        <v>0</v>
      </c>
      <c r="C79" s="186"/>
      <c r="D79" s="255"/>
      <c r="E79" s="243"/>
      <c r="F79" s="244"/>
      <c r="G79" s="257"/>
      <c r="H79" s="243"/>
      <c r="I79" s="244"/>
      <c r="J79" s="253"/>
      <c r="K79" s="243"/>
      <c r="L79" s="244"/>
      <c r="M79" s="253"/>
      <c r="N79" s="243"/>
      <c r="O79" s="244"/>
      <c r="P79" s="253"/>
      <c r="Q79" s="243"/>
      <c r="R79" s="244"/>
      <c r="S79" s="253"/>
      <c r="T79" s="243"/>
      <c r="U79" s="244"/>
      <c r="V79" s="253"/>
      <c r="W79" s="243"/>
      <c r="X79" s="244"/>
      <c r="Y79" s="253"/>
      <c r="Z79" s="243"/>
      <c r="AA79" s="244"/>
      <c r="AB79" s="253"/>
      <c r="AC79" s="243"/>
      <c r="AD79" s="244"/>
      <c r="AE79" s="246"/>
      <c r="AF79" s="243"/>
      <c r="AG79" s="244"/>
      <c r="AH79" s="246"/>
      <c r="AI79" s="243"/>
      <c r="AJ79" s="244"/>
      <c r="AK79" s="253"/>
      <c r="AL79" s="243"/>
      <c r="AM79" s="244"/>
      <c r="AN79" s="253"/>
      <c r="AO79" s="243"/>
      <c r="AP79" s="244"/>
      <c r="AQ79" s="246"/>
      <c r="AR79" s="243"/>
      <c r="AS79" s="244"/>
      <c r="AT79" s="246"/>
      <c r="AU79" s="243"/>
      <c r="AV79" s="244"/>
      <c r="AW79" s="230"/>
      <c r="AX79" s="232"/>
      <c r="AY79" s="250"/>
      <c r="AZ79" s="236"/>
      <c r="BA79" s="218"/>
      <c r="BB79" s="220"/>
      <c r="BC79" s="242"/>
      <c r="BD79" s="182">
        <f>BI43</f>
        <v>0</v>
      </c>
      <c r="BE79" s="222"/>
      <c r="BF79" s="177"/>
    </row>
    <row r="80" spans="1:58" ht="12.75" customHeight="1" x14ac:dyDescent="0.15">
      <c r="A80" s="187">
        <f>BL44</f>
        <v>37</v>
      </c>
      <c r="B80" s="174"/>
      <c r="C80" s="185"/>
      <c r="D80" s="254"/>
      <c r="E80" s="247"/>
      <c r="F80" s="248"/>
      <c r="G80" s="256"/>
      <c r="H80" s="247"/>
      <c r="I80" s="248"/>
      <c r="J80" s="252"/>
      <c r="K80" s="247"/>
      <c r="L80" s="248"/>
      <c r="M80" s="252"/>
      <c r="N80" s="247"/>
      <c r="O80" s="248"/>
      <c r="P80" s="252"/>
      <c r="Q80" s="247"/>
      <c r="R80" s="248"/>
      <c r="S80" s="252"/>
      <c r="T80" s="247"/>
      <c r="U80" s="248"/>
      <c r="V80" s="252"/>
      <c r="W80" s="247"/>
      <c r="X80" s="248"/>
      <c r="Y80" s="252"/>
      <c r="Z80" s="247"/>
      <c r="AA80" s="248"/>
      <c r="AB80" s="252"/>
      <c r="AC80" s="247"/>
      <c r="AD80" s="248"/>
      <c r="AE80" s="245"/>
      <c r="AF80" s="247"/>
      <c r="AG80" s="248"/>
      <c r="AH80" s="245"/>
      <c r="AI80" s="247"/>
      <c r="AJ80" s="248"/>
      <c r="AK80" s="252"/>
      <c r="AL80" s="247"/>
      <c r="AM80" s="248"/>
      <c r="AN80" s="252"/>
      <c r="AO80" s="247"/>
      <c r="AP80" s="248"/>
      <c r="AQ80" s="245"/>
      <c r="AR80" s="247"/>
      <c r="AS80" s="248"/>
      <c r="AT80" s="245"/>
      <c r="AU80" s="247"/>
      <c r="AV80" s="248"/>
      <c r="AW80" s="229">
        <f t="shared" ref="AW80" si="156">SUM(D80,G80,J80,M80,P80,S80,V80,AK80,AN80,AT80)</f>
        <v>0</v>
      </c>
      <c r="AX80" s="231" t="str">
        <f t="shared" ref="AX80" si="157">IF(AW80=0,"",AVERAGE(D80,G80,J80,M80,P80,S80,V80,AK80,AN80,AT80))</f>
        <v/>
      </c>
      <c r="AY80" s="249">
        <f t="shared" ref="AY80" si="158">RANK(AW80,$AW$8:$AW$103,0)</f>
        <v>1</v>
      </c>
      <c r="AZ80" s="251">
        <f t="shared" ref="AZ80" si="159">$AZ$8</f>
        <v>0</v>
      </c>
      <c r="BA80" s="217">
        <v>0</v>
      </c>
      <c r="BB80" s="219">
        <f t="shared" ref="BB80" si="160">AZ80-BA80</f>
        <v>0</v>
      </c>
      <c r="BC80" s="241">
        <f>BH48</f>
        <v>0</v>
      </c>
      <c r="BD80" s="176">
        <f>BJ44</f>
        <v>0</v>
      </c>
      <c r="BE80" s="221">
        <f>BG44</f>
        <v>0</v>
      </c>
      <c r="BF80" s="177">
        <f t="shared" si="145"/>
        <v>0</v>
      </c>
    </row>
    <row r="81" spans="1:58" ht="12.75" customHeight="1" x14ac:dyDescent="0.15">
      <c r="A81" s="189">
        <f>BM44</f>
        <v>0</v>
      </c>
      <c r="B81" s="180">
        <f>BN44</f>
        <v>0</v>
      </c>
      <c r="C81" s="186"/>
      <c r="D81" s="255"/>
      <c r="E81" s="243"/>
      <c r="F81" s="244"/>
      <c r="G81" s="257"/>
      <c r="H81" s="243"/>
      <c r="I81" s="244"/>
      <c r="J81" s="253"/>
      <c r="K81" s="243"/>
      <c r="L81" s="244"/>
      <c r="M81" s="253"/>
      <c r="N81" s="243"/>
      <c r="O81" s="244"/>
      <c r="P81" s="253"/>
      <c r="Q81" s="243"/>
      <c r="R81" s="244"/>
      <c r="S81" s="253"/>
      <c r="T81" s="243"/>
      <c r="U81" s="244"/>
      <c r="V81" s="253"/>
      <c r="W81" s="243"/>
      <c r="X81" s="244"/>
      <c r="Y81" s="253"/>
      <c r="Z81" s="243"/>
      <c r="AA81" s="244"/>
      <c r="AB81" s="253"/>
      <c r="AC81" s="243"/>
      <c r="AD81" s="244"/>
      <c r="AE81" s="246"/>
      <c r="AF81" s="243"/>
      <c r="AG81" s="244"/>
      <c r="AH81" s="246"/>
      <c r="AI81" s="243"/>
      <c r="AJ81" s="244"/>
      <c r="AK81" s="253"/>
      <c r="AL81" s="243"/>
      <c r="AM81" s="244"/>
      <c r="AN81" s="253"/>
      <c r="AO81" s="243"/>
      <c r="AP81" s="244"/>
      <c r="AQ81" s="246"/>
      <c r="AR81" s="243"/>
      <c r="AS81" s="244"/>
      <c r="AT81" s="246"/>
      <c r="AU81" s="243"/>
      <c r="AV81" s="244"/>
      <c r="AW81" s="230"/>
      <c r="AX81" s="232"/>
      <c r="AY81" s="250"/>
      <c r="AZ81" s="236"/>
      <c r="BA81" s="218"/>
      <c r="BB81" s="220"/>
      <c r="BC81" s="242"/>
      <c r="BD81" s="182">
        <f>BI44</f>
        <v>0</v>
      </c>
      <c r="BE81" s="222"/>
      <c r="BF81" s="177"/>
    </row>
    <row r="82" spans="1:58" ht="12.75" customHeight="1" x14ac:dyDescent="0.15">
      <c r="A82" s="187">
        <f>BL45</f>
        <v>38</v>
      </c>
      <c r="B82" s="174"/>
      <c r="C82" s="185"/>
      <c r="D82" s="254"/>
      <c r="E82" s="247"/>
      <c r="F82" s="248"/>
      <c r="G82" s="256"/>
      <c r="H82" s="247"/>
      <c r="I82" s="248"/>
      <c r="J82" s="252"/>
      <c r="K82" s="247"/>
      <c r="L82" s="248"/>
      <c r="M82" s="252"/>
      <c r="N82" s="247"/>
      <c r="O82" s="248"/>
      <c r="P82" s="252"/>
      <c r="Q82" s="247"/>
      <c r="R82" s="248"/>
      <c r="S82" s="252"/>
      <c r="T82" s="247"/>
      <c r="U82" s="248"/>
      <c r="V82" s="252"/>
      <c r="W82" s="247"/>
      <c r="X82" s="248"/>
      <c r="Y82" s="252"/>
      <c r="Z82" s="247"/>
      <c r="AA82" s="248"/>
      <c r="AB82" s="252"/>
      <c r="AC82" s="247"/>
      <c r="AD82" s="248"/>
      <c r="AE82" s="245"/>
      <c r="AF82" s="247"/>
      <c r="AG82" s="248"/>
      <c r="AH82" s="245"/>
      <c r="AI82" s="247"/>
      <c r="AJ82" s="248"/>
      <c r="AK82" s="252"/>
      <c r="AL82" s="247"/>
      <c r="AM82" s="248"/>
      <c r="AN82" s="252"/>
      <c r="AO82" s="247"/>
      <c r="AP82" s="248"/>
      <c r="AQ82" s="245"/>
      <c r="AR82" s="247"/>
      <c r="AS82" s="248"/>
      <c r="AT82" s="245"/>
      <c r="AU82" s="247"/>
      <c r="AV82" s="248"/>
      <c r="AW82" s="229">
        <f t="shared" ref="AW82" si="161">SUM(D82,G82,J82,M82,P82,S82,V82,AK82,AN82,AT82)</f>
        <v>0</v>
      </c>
      <c r="AX82" s="231" t="str">
        <f t="shared" ref="AX82" si="162">IF(AW82=0,"",AVERAGE(D82,G82,J82,M82,P82,S82,V82,AK82,AN82,AT82))</f>
        <v/>
      </c>
      <c r="AY82" s="249">
        <f t="shared" ref="AY82" si="163">RANK(AW82,$AW$8:$AW$103,0)</f>
        <v>1</v>
      </c>
      <c r="AZ82" s="251">
        <f t="shared" ref="AZ82" si="164">$AZ$8</f>
        <v>0</v>
      </c>
      <c r="BA82" s="217">
        <v>0</v>
      </c>
      <c r="BB82" s="219">
        <f t="shared" ref="BB82" si="165">AZ82-BA82</f>
        <v>0</v>
      </c>
      <c r="BC82" s="241">
        <f>BH50</f>
        <v>0</v>
      </c>
      <c r="BD82" s="176">
        <f>BJ45</f>
        <v>0</v>
      </c>
      <c r="BE82" s="221">
        <f>BG45</f>
        <v>0</v>
      </c>
      <c r="BF82" s="177">
        <f t="shared" si="145"/>
        <v>0</v>
      </c>
    </row>
    <row r="83" spans="1:58" ht="12.75" customHeight="1" x14ac:dyDescent="0.15">
      <c r="A83" s="189">
        <f>BM45</f>
        <v>0</v>
      </c>
      <c r="B83" s="180">
        <f>BN45</f>
        <v>0</v>
      </c>
      <c r="C83" s="186"/>
      <c r="D83" s="255"/>
      <c r="E83" s="243"/>
      <c r="F83" s="244"/>
      <c r="G83" s="257"/>
      <c r="H83" s="243"/>
      <c r="I83" s="244"/>
      <c r="J83" s="253"/>
      <c r="K83" s="243"/>
      <c r="L83" s="244"/>
      <c r="M83" s="253"/>
      <c r="N83" s="243"/>
      <c r="O83" s="244"/>
      <c r="P83" s="253"/>
      <c r="Q83" s="243"/>
      <c r="R83" s="244"/>
      <c r="S83" s="253"/>
      <c r="T83" s="243"/>
      <c r="U83" s="244"/>
      <c r="V83" s="253"/>
      <c r="W83" s="243"/>
      <c r="X83" s="244"/>
      <c r="Y83" s="253"/>
      <c r="Z83" s="243"/>
      <c r="AA83" s="244"/>
      <c r="AB83" s="253"/>
      <c r="AC83" s="243"/>
      <c r="AD83" s="244"/>
      <c r="AE83" s="246"/>
      <c r="AF83" s="243"/>
      <c r="AG83" s="244"/>
      <c r="AH83" s="246"/>
      <c r="AI83" s="243"/>
      <c r="AJ83" s="244"/>
      <c r="AK83" s="253"/>
      <c r="AL83" s="243"/>
      <c r="AM83" s="244"/>
      <c r="AN83" s="253"/>
      <c r="AO83" s="243"/>
      <c r="AP83" s="244"/>
      <c r="AQ83" s="246"/>
      <c r="AR83" s="243"/>
      <c r="AS83" s="244"/>
      <c r="AT83" s="246"/>
      <c r="AU83" s="243"/>
      <c r="AV83" s="244"/>
      <c r="AW83" s="230"/>
      <c r="AX83" s="232"/>
      <c r="AY83" s="250"/>
      <c r="AZ83" s="236"/>
      <c r="BA83" s="218"/>
      <c r="BB83" s="220"/>
      <c r="BC83" s="242"/>
      <c r="BD83" s="182">
        <f>BI45</f>
        <v>0</v>
      </c>
      <c r="BE83" s="222"/>
      <c r="BF83" s="177"/>
    </row>
    <row r="84" spans="1:58" ht="12.75" customHeight="1" x14ac:dyDescent="0.15">
      <c r="A84" s="187">
        <f>BL46</f>
        <v>39</v>
      </c>
      <c r="B84" s="174"/>
      <c r="C84" s="185"/>
      <c r="D84" s="254"/>
      <c r="E84" s="247"/>
      <c r="F84" s="248"/>
      <c r="G84" s="256"/>
      <c r="H84" s="247"/>
      <c r="I84" s="248"/>
      <c r="J84" s="252"/>
      <c r="K84" s="247"/>
      <c r="L84" s="248"/>
      <c r="M84" s="252"/>
      <c r="N84" s="247"/>
      <c r="O84" s="248"/>
      <c r="P84" s="252"/>
      <c r="Q84" s="247"/>
      <c r="R84" s="248"/>
      <c r="S84" s="252"/>
      <c r="T84" s="247"/>
      <c r="U84" s="248"/>
      <c r="V84" s="252"/>
      <c r="W84" s="247"/>
      <c r="X84" s="248"/>
      <c r="Y84" s="252"/>
      <c r="Z84" s="247"/>
      <c r="AA84" s="248"/>
      <c r="AB84" s="252"/>
      <c r="AC84" s="247"/>
      <c r="AD84" s="248"/>
      <c r="AE84" s="245"/>
      <c r="AF84" s="247"/>
      <c r="AG84" s="248"/>
      <c r="AH84" s="245"/>
      <c r="AI84" s="247"/>
      <c r="AJ84" s="248"/>
      <c r="AK84" s="252"/>
      <c r="AL84" s="247"/>
      <c r="AM84" s="248"/>
      <c r="AN84" s="252"/>
      <c r="AO84" s="247"/>
      <c r="AP84" s="248"/>
      <c r="AQ84" s="245"/>
      <c r="AR84" s="247"/>
      <c r="AS84" s="248"/>
      <c r="AT84" s="245"/>
      <c r="AU84" s="247"/>
      <c r="AV84" s="248"/>
      <c r="AW84" s="229">
        <f t="shared" ref="AW84" si="166">SUM(D84,G84,J84,M84,P84,S84,V84,AK84,AN84,AT84)</f>
        <v>0</v>
      </c>
      <c r="AX84" s="231" t="str">
        <f t="shared" ref="AX84" si="167">IF(AW84=0,"",AVERAGE(D84,G84,J84,M84,P84,S84,V84,AK84,AN84,AT84))</f>
        <v/>
      </c>
      <c r="AY84" s="249">
        <f t="shared" ref="AY84" si="168">RANK(AW84,$AW$8:$AW$103,0)</f>
        <v>1</v>
      </c>
      <c r="AZ84" s="251">
        <f t="shared" ref="AZ84" si="169">$AZ$8</f>
        <v>0</v>
      </c>
      <c r="BA84" s="217">
        <v>0</v>
      </c>
      <c r="BB84" s="219">
        <f t="shared" ref="BB84" si="170">AZ84-BA84</f>
        <v>0</v>
      </c>
      <c r="BC84" s="241">
        <f>BH52</f>
        <v>0</v>
      </c>
      <c r="BD84" s="176">
        <f>BJ46</f>
        <v>0</v>
      </c>
      <c r="BE84" s="221">
        <f>BG46</f>
        <v>0</v>
      </c>
      <c r="BF84" s="177">
        <f t="shared" si="145"/>
        <v>0</v>
      </c>
    </row>
    <row r="85" spans="1:58" ht="12.75" customHeight="1" x14ac:dyDescent="0.15">
      <c r="A85" s="189">
        <f>BM46</f>
        <v>0</v>
      </c>
      <c r="B85" s="180">
        <f>BN46</f>
        <v>0</v>
      </c>
      <c r="C85" s="186"/>
      <c r="D85" s="255"/>
      <c r="E85" s="243"/>
      <c r="F85" s="244"/>
      <c r="G85" s="257"/>
      <c r="H85" s="243"/>
      <c r="I85" s="244"/>
      <c r="J85" s="253"/>
      <c r="K85" s="243"/>
      <c r="L85" s="244"/>
      <c r="M85" s="253"/>
      <c r="N85" s="243"/>
      <c r="O85" s="244"/>
      <c r="P85" s="253"/>
      <c r="Q85" s="243"/>
      <c r="R85" s="244"/>
      <c r="S85" s="253"/>
      <c r="T85" s="243"/>
      <c r="U85" s="244"/>
      <c r="V85" s="253"/>
      <c r="W85" s="243"/>
      <c r="X85" s="244"/>
      <c r="Y85" s="253"/>
      <c r="Z85" s="243"/>
      <c r="AA85" s="244"/>
      <c r="AB85" s="253"/>
      <c r="AC85" s="243"/>
      <c r="AD85" s="244"/>
      <c r="AE85" s="246"/>
      <c r="AF85" s="243"/>
      <c r="AG85" s="244"/>
      <c r="AH85" s="246"/>
      <c r="AI85" s="243"/>
      <c r="AJ85" s="244"/>
      <c r="AK85" s="253"/>
      <c r="AL85" s="243"/>
      <c r="AM85" s="244"/>
      <c r="AN85" s="253"/>
      <c r="AO85" s="243"/>
      <c r="AP85" s="244"/>
      <c r="AQ85" s="246"/>
      <c r="AR85" s="243"/>
      <c r="AS85" s="244"/>
      <c r="AT85" s="246"/>
      <c r="AU85" s="243"/>
      <c r="AV85" s="244"/>
      <c r="AW85" s="230"/>
      <c r="AX85" s="232"/>
      <c r="AY85" s="250"/>
      <c r="AZ85" s="236"/>
      <c r="BA85" s="218"/>
      <c r="BB85" s="220"/>
      <c r="BC85" s="242"/>
      <c r="BD85" s="182">
        <f>BI46</f>
        <v>0</v>
      </c>
      <c r="BE85" s="222"/>
      <c r="BF85" s="177"/>
    </row>
    <row r="86" spans="1:58" ht="12.75" customHeight="1" x14ac:dyDescent="0.15">
      <c r="A86" s="187">
        <f>BL47</f>
        <v>40</v>
      </c>
      <c r="B86" s="174"/>
      <c r="C86" s="191"/>
      <c r="D86" s="254"/>
      <c r="E86" s="247"/>
      <c r="F86" s="248"/>
      <c r="G86" s="256"/>
      <c r="H86" s="247"/>
      <c r="I86" s="248"/>
      <c r="J86" s="252"/>
      <c r="K86" s="247"/>
      <c r="L86" s="248"/>
      <c r="M86" s="252"/>
      <c r="N86" s="247"/>
      <c r="O86" s="248"/>
      <c r="P86" s="252"/>
      <c r="Q86" s="247"/>
      <c r="R86" s="248"/>
      <c r="S86" s="252"/>
      <c r="T86" s="247"/>
      <c r="U86" s="248"/>
      <c r="V86" s="252"/>
      <c r="W86" s="247"/>
      <c r="X86" s="248"/>
      <c r="Y86" s="252"/>
      <c r="Z86" s="247"/>
      <c r="AA86" s="248"/>
      <c r="AB86" s="252"/>
      <c r="AC86" s="247"/>
      <c r="AD86" s="248"/>
      <c r="AE86" s="245"/>
      <c r="AF86" s="247"/>
      <c r="AG86" s="248"/>
      <c r="AH86" s="245"/>
      <c r="AI86" s="247"/>
      <c r="AJ86" s="248"/>
      <c r="AK86" s="252"/>
      <c r="AL86" s="247"/>
      <c r="AM86" s="248"/>
      <c r="AN86" s="252"/>
      <c r="AO86" s="247"/>
      <c r="AP86" s="248"/>
      <c r="AQ86" s="245"/>
      <c r="AR86" s="247"/>
      <c r="AS86" s="248"/>
      <c r="AT86" s="245"/>
      <c r="AU86" s="247"/>
      <c r="AV86" s="248"/>
      <c r="AW86" s="229">
        <f t="shared" ref="AW86" si="171">SUM(D86,G86,J86,M86,P86,S86,V86,AK86,AN86,AT86)</f>
        <v>0</v>
      </c>
      <c r="AX86" s="231" t="str">
        <f t="shared" ref="AX86" si="172">IF(AW86=0,"",AVERAGE(D86,G86,J86,M86,P86,S86,V86,AK86,AN86,AT86))</f>
        <v/>
      </c>
      <c r="AY86" s="249">
        <f t="shared" ref="AY86" si="173">RANK(AW86,$AW$8:$AW$103,0)</f>
        <v>1</v>
      </c>
      <c r="AZ86" s="251">
        <f t="shared" ref="AZ86" si="174">$AZ$8</f>
        <v>0</v>
      </c>
      <c r="BA86" s="217">
        <v>0</v>
      </c>
      <c r="BB86" s="219">
        <f t="shared" ref="BB86" si="175">AZ86-BA86</f>
        <v>0</v>
      </c>
      <c r="BC86" s="241">
        <f>BH54</f>
        <v>0</v>
      </c>
      <c r="BD86" s="176">
        <f>BJ47</f>
        <v>0</v>
      </c>
      <c r="BE86" s="221">
        <f>BG47</f>
        <v>0</v>
      </c>
      <c r="BF86" s="177">
        <f t="shared" si="145"/>
        <v>0</v>
      </c>
    </row>
    <row r="87" spans="1:58" ht="12.75" customHeight="1" x14ac:dyDescent="0.15">
      <c r="A87" s="189">
        <f>BM47</f>
        <v>0</v>
      </c>
      <c r="B87" s="180">
        <f>BN47</f>
        <v>0</v>
      </c>
      <c r="C87" s="192"/>
      <c r="D87" s="255"/>
      <c r="E87" s="243"/>
      <c r="F87" s="244"/>
      <c r="G87" s="257"/>
      <c r="H87" s="243"/>
      <c r="I87" s="244"/>
      <c r="J87" s="253"/>
      <c r="K87" s="243"/>
      <c r="L87" s="244"/>
      <c r="M87" s="253"/>
      <c r="N87" s="243"/>
      <c r="O87" s="244"/>
      <c r="P87" s="253"/>
      <c r="Q87" s="243"/>
      <c r="R87" s="244"/>
      <c r="S87" s="253"/>
      <c r="T87" s="243"/>
      <c r="U87" s="244"/>
      <c r="V87" s="253"/>
      <c r="W87" s="243"/>
      <c r="X87" s="244"/>
      <c r="Y87" s="253"/>
      <c r="Z87" s="243"/>
      <c r="AA87" s="244"/>
      <c r="AB87" s="253"/>
      <c r="AC87" s="243"/>
      <c r="AD87" s="244"/>
      <c r="AE87" s="246"/>
      <c r="AF87" s="243"/>
      <c r="AG87" s="244"/>
      <c r="AH87" s="246"/>
      <c r="AI87" s="243"/>
      <c r="AJ87" s="244"/>
      <c r="AK87" s="253"/>
      <c r="AL87" s="243"/>
      <c r="AM87" s="244"/>
      <c r="AN87" s="253"/>
      <c r="AO87" s="243"/>
      <c r="AP87" s="244"/>
      <c r="AQ87" s="246"/>
      <c r="AR87" s="243"/>
      <c r="AS87" s="244"/>
      <c r="AT87" s="246"/>
      <c r="AU87" s="243"/>
      <c r="AV87" s="244"/>
      <c r="AW87" s="230"/>
      <c r="AX87" s="232"/>
      <c r="AY87" s="250"/>
      <c r="AZ87" s="236"/>
      <c r="BA87" s="218"/>
      <c r="BB87" s="220"/>
      <c r="BC87" s="242"/>
      <c r="BD87" s="182">
        <f>BI47</f>
        <v>0</v>
      </c>
      <c r="BE87" s="222"/>
      <c r="BF87" s="177"/>
    </row>
    <row r="88" spans="1:58" ht="12.75" customHeight="1" x14ac:dyDescent="0.15">
      <c r="A88" s="187">
        <f>BL48</f>
        <v>41</v>
      </c>
      <c r="B88" s="174"/>
      <c r="C88" s="191"/>
      <c r="D88" s="254"/>
      <c r="E88" s="247"/>
      <c r="F88" s="248"/>
      <c r="G88" s="256"/>
      <c r="H88" s="247"/>
      <c r="I88" s="248"/>
      <c r="J88" s="252"/>
      <c r="K88" s="247"/>
      <c r="L88" s="248"/>
      <c r="M88" s="252"/>
      <c r="N88" s="247"/>
      <c r="O88" s="248"/>
      <c r="P88" s="252"/>
      <c r="Q88" s="247"/>
      <c r="R88" s="248"/>
      <c r="S88" s="252"/>
      <c r="T88" s="247"/>
      <c r="U88" s="248"/>
      <c r="V88" s="252"/>
      <c r="W88" s="247"/>
      <c r="X88" s="248"/>
      <c r="Y88" s="252"/>
      <c r="Z88" s="247"/>
      <c r="AA88" s="248"/>
      <c r="AB88" s="252"/>
      <c r="AC88" s="247"/>
      <c r="AD88" s="248"/>
      <c r="AE88" s="245"/>
      <c r="AF88" s="247"/>
      <c r="AG88" s="248"/>
      <c r="AH88" s="245"/>
      <c r="AI88" s="247"/>
      <c r="AJ88" s="248"/>
      <c r="AK88" s="252"/>
      <c r="AL88" s="247"/>
      <c r="AM88" s="248"/>
      <c r="AN88" s="252"/>
      <c r="AO88" s="247"/>
      <c r="AP88" s="248"/>
      <c r="AQ88" s="245"/>
      <c r="AR88" s="247"/>
      <c r="AS88" s="248"/>
      <c r="AT88" s="245"/>
      <c r="AU88" s="247"/>
      <c r="AV88" s="248"/>
      <c r="AW88" s="229">
        <f t="shared" ref="AW88" si="176">SUM(D88,G88,J88,M88,P88,S88,V88,AK88,AN88,AT88)</f>
        <v>0</v>
      </c>
      <c r="AX88" s="231" t="str">
        <f t="shared" ref="AX88" si="177">IF(AW88=0,"",AVERAGE(D88,G88,J88,M88,P88,S88,V88,AK88,AN88,AT88))</f>
        <v/>
      </c>
      <c r="AY88" s="249">
        <f t="shared" ref="AY88" si="178">RANK(AW88,$AW$8:$AW$103,0)</f>
        <v>1</v>
      </c>
      <c r="AZ88" s="251">
        <f t="shared" ref="AZ88" si="179">$AZ$8</f>
        <v>0</v>
      </c>
      <c r="BA88" s="217">
        <v>0</v>
      </c>
      <c r="BB88" s="219">
        <f t="shared" ref="BB88" si="180">AZ88-BA88</f>
        <v>0</v>
      </c>
      <c r="BC88" s="241">
        <f>BH56</f>
        <v>0</v>
      </c>
      <c r="BD88" s="176">
        <f>BJ48</f>
        <v>0</v>
      </c>
      <c r="BE88" s="221">
        <f>BG48</f>
        <v>0</v>
      </c>
      <c r="BF88" s="177">
        <f t="shared" si="145"/>
        <v>0</v>
      </c>
    </row>
    <row r="89" spans="1:58" ht="12.75" customHeight="1" x14ac:dyDescent="0.15">
      <c r="A89" s="189">
        <f>BM48</f>
        <v>0</v>
      </c>
      <c r="B89" s="180">
        <f>BN48</f>
        <v>0</v>
      </c>
      <c r="C89" s="192"/>
      <c r="D89" s="255"/>
      <c r="E89" s="243"/>
      <c r="F89" s="244"/>
      <c r="G89" s="257"/>
      <c r="H89" s="243"/>
      <c r="I89" s="244"/>
      <c r="J89" s="253"/>
      <c r="K89" s="243"/>
      <c r="L89" s="244"/>
      <c r="M89" s="253"/>
      <c r="N89" s="243"/>
      <c r="O89" s="244"/>
      <c r="P89" s="253"/>
      <c r="Q89" s="243"/>
      <c r="R89" s="244"/>
      <c r="S89" s="253"/>
      <c r="T89" s="243"/>
      <c r="U89" s="244"/>
      <c r="V89" s="253"/>
      <c r="W89" s="243"/>
      <c r="X89" s="244"/>
      <c r="Y89" s="253"/>
      <c r="Z89" s="243"/>
      <c r="AA89" s="244"/>
      <c r="AB89" s="253"/>
      <c r="AC89" s="243"/>
      <c r="AD89" s="244"/>
      <c r="AE89" s="246"/>
      <c r="AF89" s="243"/>
      <c r="AG89" s="244"/>
      <c r="AH89" s="246"/>
      <c r="AI89" s="243"/>
      <c r="AJ89" s="244"/>
      <c r="AK89" s="253"/>
      <c r="AL89" s="243"/>
      <c r="AM89" s="244"/>
      <c r="AN89" s="253"/>
      <c r="AO89" s="243"/>
      <c r="AP89" s="244"/>
      <c r="AQ89" s="246"/>
      <c r="AR89" s="243"/>
      <c r="AS89" s="244"/>
      <c r="AT89" s="246"/>
      <c r="AU89" s="243"/>
      <c r="AV89" s="244"/>
      <c r="AW89" s="230"/>
      <c r="AX89" s="232"/>
      <c r="AY89" s="250"/>
      <c r="AZ89" s="236"/>
      <c r="BA89" s="218"/>
      <c r="BB89" s="220"/>
      <c r="BC89" s="242"/>
      <c r="BD89" s="182">
        <f>BI48</f>
        <v>0</v>
      </c>
      <c r="BE89" s="222"/>
      <c r="BF89" s="177"/>
    </row>
    <row r="90" spans="1:58" ht="12.75" customHeight="1" x14ac:dyDescent="0.15">
      <c r="A90" s="187">
        <f>BL49</f>
        <v>42</v>
      </c>
      <c r="B90" s="174"/>
      <c r="C90" s="191"/>
      <c r="D90" s="254"/>
      <c r="E90" s="247"/>
      <c r="F90" s="248"/>
      <c r="G90" s="256"/>
      <c r="H90" s="247"/>
      <c r="I90" s="248"/>
      <c r="J90" s="252"/>
      <c r="K90" s="247"/>
      <c r="L90" s="248"/>
      <c r="M90" s="252"/>
      <c r="N90" s="247"/>
      <c r="O90" s="248"/>
      <c r="P90" s="252"/>
      <c r="Q90" s="247"/>
      <c r="R90" s="248"/>
      <c r="S90" s="252"/>
      <c r="T90" s="247"/>
      <c r="U90" s="248"/>
      <c r="V90" s="252"/>
      <c r="W90" s="247"/>
      <c r="X90" s="248"/>
      <c r="Y90" s="252"/>
      <c r="Z90" s="247"/>
      <c r="AA90" s="248"/>
      <c r="AB90" s="252"/>
      <c r="AC90" s="247"/>
      <c r="AD90" s="248"/>
      <c r="AE90" s="245"/>
      <c r="AF90" s="247"/>
      <c r="AG90" s="248"/>
      <c r="AH90" s="245"/>
      <c r="AI90" s="247"/>
      <c r="AJ90" s="248"/>
      <c r="AK90" s="252"/>
      <c r="AL90" s="247"/>
      <c r="AM90" s="248"/>
      <c r="AN90" s="252"/>
      <c r="AO90" s="247"/>
      <c r="AP90" s="248"/>
      <c r="AQ90" s="245"/>
      <c r="AR90" s="247"/>
      <c r="AS90" s="248"/>
      <c r="AT90" s="245"/>
      <c r="AU90" s="247"/>
      <c r="AV90" s="248"/>
      <c r="AW90" s="229">
        <f t="shared" ref="AW90" si="181">SUM(D90,G90,J90,M90,P90,S90,V90,AK90,AN90,AT90)</f>
        <v>0</v>
      </c>
      <c r="AX90" s="231" t="str">
        <f t="shared" ref="AX90" si="182">IF(AW90=0,"",AVERAGE(D90,G90,J90,M90,P90,S90,V90,AK90,AN90,AT90))</f>
        <v/>
      </c>
      <c r="AY90" s="249">
        <f t="shared" ref="AY90" si="183">RANK(AW90,$AW$8:$AW$103,0)</f>
        <v>1</v>
      </c>
      <c r="AZ90" s="251">
        <f t="shared" ref="AZ90" si="184">$AZ$8</f>
        <v>0</v>
      </c>
      <c r="BA90" s="217">
        <v>0</v>
      </c>
      <c r="BB90" s="219">
        <f t="shared" ref="BB90" si="185">AZ90-BA90</f>
        <v>0</v>
      </c>
      <c r="BC90" s="241">
        <f>BH58</f>
        <v>0</v>
      </c>
      <c r="BD90" s="176">
        <f>BJ49</f>
        <v>0</v>
      </c>
      <c r="BE90" s="221">
        <f>BG49</f>
        <v>0</v>
      </c>
      <c r="BF90" s="177">
        <f t="shared" si="145"/>
        <v>0</v>
      </c>
    </row>
    <row r="91" spans="1:58" ht="12.75" customHeight="1" x14ac:dyDescent="0.15">
      <c r="A91" s="189">
        <f>BM49</f>
        <v>0</v>
      </c>
      <c r="B91" s="180">
        <f>BN49</f>
        <v>0</v>
      </c>
      <c r="C91" s="192"/>
      <c r="D91" s="255"/>
      <c r="E91" s="243"/>
      <c r="F91" s="244"/>
      <c r="G91" s="257"/>
      <c r="H91" s="243"/>
      <c r="I91" s="244"/>
      <c r="J91" s="253"/>
      <c r="K91" s="243"/>
      <c r="L91" s="244"/>
      <c r="M91" s="253"/>
      <c r="N91" s="243"/>
      <c r="O91" s="244"/>
      <c r="P91" s="253"/>
      <c r="Q91" s="243"/>
      <c r="R91" s="244"/>
      <c r="S91" s="253"/>
      <c r="T91" s="243"/>
      <c r="U91" s="244"/>
      <c r="V91" s="253"/>
      <c r="W91" s="243"/>
      <c r="X91" s="244"/>
      <c r="Y91" s="253"/>
      <c r="Z91" s="243"/>
      <c r="AA91" s="244"/>
      <c r="AB91" s="253"/>
      <c r="AC91" s="243"/>
      <c r="AD91" s="244"/>
      <c r="AE91" s="246"/>
      <c r="AF91" s="243"/>
      <c r="AG91" s="244"/>
      <c r="AH91" s="246"/>
      <c r="AI91" s="243"/>
      <c r="AJ91" s="244"/>
      <c r="AK91" s="253"/>
      <c r="AL91" s="243"/>
      <c r="AM91" s="244"/>
      <c r="AN91" s="253"/>
      <c r="AO91" s="243"/>
      <c r="AP91" s="244"/>
      <c r="AQ91" s="246"/>
      <c r="AR91" s="243"/>
      <c r="AS91" s="244"/>
      <c r="AT91" s="246"/>
      <c r="AU91" s="243"/>
      <c r="AV91" s="244"/>
      <c r="AW91" s="230"/>
      <c r="AX91" s="232"/>
      <c r="AY91" s="250"/>
      <c r="AZ91" s="236"/>
      <c r="BA91" s="218"/>
      <c r="BB91" s="220"/>
      <c r="BC91" s="242"/>
      <c r="BD91" s="182">
        <f>BI49</f>
        <v>0</v>
      </c>
      <c r="BE91" s="222"/>
      <c r="BF91" s="177"/>
    </row>
    <row r="92" spans="1:58" ht="12.75" customHeight="1" x14ac:dyDescent="0.15">
      <c r="A92" s="187">
        <f>BL50</f>
        <v>43</v>
      </c>
      <c r="B92" s="174"/>
      <c r="C92" s="191"/>
      <c r="D92" s="254"/>
      <c r="E92" s="247"/>
      <c r="F92" s="248"/>
      <c r="G92" s="256"/>
      <c r="H92" s="247"/>
      <c r="I92" s="248"/>
      <c r="J92" s="252"/>
      <c r="K92" s="247"/>
      <c r="L92" s="248"/>
      <c r="M92" s="252"/>
      <c r="N92" s="247"/>
      <c r="O92" s="248"/>
      <c r="P92" s="252"/>
      <c r="Q92" s="247"/>
      <c r="R92" s="248"/>
      <c r="S92" s="252"/>
      <c r="T92" s="247"/>
      <c r="U92" s="248"/>
      <c r="V92" s="252"/>
      <c r="W92" s="247"/>
      <c r="X92" s="248"/>
      <c r="Y92" s="252"/>
      <c r="Z92" s="247"/>
      <c r="AA92" s="248"/>
      <c r="AB92" s="252"/>
      <c r="AC92" s="247"/>
      <c r="AD92" s="248"/>
      <c r="AE92" s="245"/>
      <c r="AF92" s="247"/>
      <c r="AG92" s="248"/>
      <c r="AH92" s="245"/>
      <c r="AI92" s="247"/>
      <c r="AJ92" s="248"/>
      <c r="AK92" s="252"/>
      <c r="AL92" s="247"/>
      <c r="AM92" s="248"/>
      <c r="AN92" s="252"/>
      <c r="AO92" s="247"/>
      <c r="AP92" s="248"/>
      <c r="AQ92" s="245"/>
      <c r="AR92" s="247"/>
      <c r="AS92" s="248"/>
      <c r="AT92" s="245"/>
      <c r="AU92" s="247"/>
      <c r="AV92" s="248"/>
      <c r="AW92" s="229">
        <f t="shared" ref="AW92" si="186">SUM(D92,G92,J92,M92,P92,S92,V92,AK92,AN92,AT92)</f>
        <v>0</v>
      </c>
      <c r="AX92" s="231" t="str">
        <f t="shared" ref="AX92" si="187">IF(AW92=0,"",AVERAGE(D92,G92,J92,M92,P92,S92,V92,AK92,AN92,AT92))</f>
        <v/>
      </c>
      <c r="AY92" s="249">
        <f t="shared" ref="AY92" si="188">RANK(AW92,$AW$8:$AW$103,0)</f>
        <v>1</v>
      </c>
      <c r="AZ92" s="251">
        <f t="shared" ref="AZ92" si="189">$AZ$8</f>
        <v>0</v>
      </c>
      <c r="BA92" s="217">
        <v>0</v>
      </c>
      <c r="BB92" s="219">
        <f t="shared" ref="BB92" si="190">AZ92-BA92</f>
        <v>0</v>
      </c>
      <c r="BC92" s="241">
        <f>BH60</f>
        <v>0</v>
      </c>
      <c r="BD92" s="176">
        <f>BJ50</f>
        <v>0</v>
      </c>
      <c r="BE92" s="221">
        <f>BG50</f>
        <v>0</v>
      </c>
      <c r="BF92" s="177">
        <f t="shared" si="145"/>
        <v>0</v>
      </c>
    </row>
    <row r="93" spans="1:58" ht="12.75" customHeight="1" x14ac:dyDescent="0.15">
      <c r="A93" s="189">
        <f>BM50</f>
        <v>0</v>
      </c>
      <c r="B93" s="180">
        <f>BN50</f>
        <v>0</v>
      </c>
      <c r="C93" s="192"/>
      <c r="D93" s="255"/>
      <c r="E93" s="243"/>
      <c r="F93" s="244"/>
      <c r="G93" s="257"/>
      <c r="H93" s="243"/>
      <c r="I93" s="244"/>
      <c r="J93" s="253"/>
      <c r="K93" s="243"/>
      <c r="L93" s="244"/>
      <c r="M93" s="253"/>
      <c r="N93" s="243"/>
      <c r="O93" s="244"/>
      <c r="P93" s="253"/>
      <c r="Q93" s="243"/>
      <c r="R93" s="244"/>
      <c r="S93" s="253"/>
      <c r="T93" s="243"/>
      <c r="U93" s="244"/>
      <c r="V93" s="253"/>
      <c r="W93" s="243"/>
      <c r="X93" s="244"/>
      <c r="Y93" s="253"/>
      <c r="Z93" s="243"/>
      <c r="AA93" s="244"/>
      <c r="AB93" s="253"/>
      <c r="AC93" s="243"/>
      <c r="AD93" s="244"/>
      <c r="AE93" s="246"/>
      <c r="AF93" s="243"/>
      <c r="AG93" s="244"/>
      <c r="AH93" s="246"/>
      <c r="AI93" s="243"/>
      <c r="AJ93" s="244"/>
      <c r="AK93" s="253"/>
      <c r="AL93" s="243"/>
      <c r="AM93" s="244"/>
      <c r="AN93" s="253"/>
      <c r="AO93" s="243"/>
      <c r="AP93" s="244"/>
      <c r="AQ93" s="246"/>
      <c r="AR93" s="243"/>
      <c r="AS93" s="244"/>
      <c r="AT93" s="246"/>
      <c r="AU93" s="243"/>
      <c r="AV93" s="244"/>
      <c r="AW93" s="230"/>
      <c r="AX93" s="232"/>
      <c r="AY93" s="250"/>
      <c r="AZ93" s="236"/>
      <c r="BA93" s="218"/>
      <c r="BB93" s="220"/>
      <c r="BC93" s="242"/>
      <c r="BD93" s="182">
        <f>BI50</f>
        <v>0</v>
      </c>
      <c r="BE93" s="222"/>
      <c r="BF93" s="177"/>
    </row>
    <row r="94" spans="1:58" ht="12.75" customHeight="1" x14ac:dyDescent="0.15">
      <c r="A94" s="187">
        <f>BL51</f>
        <v>44</v>
      </c>
      <c r="B94" s="174"/>
      <c r="C94" s="191"/>
      <c r="D94" s="254"/>
      <c r="E94" s="247"/>
      <c r="F94" s="248"/>
      <c r="G94" s="256"/>
      <c r="H94" s="247"/>
      <c r="I94" s="248"/>
      <c r="J94" s="252"/>
      <c r="K94" s="247"/>
      <c r="L94" s="248"/>
      <c r="M94" s="252"/>
      <c r="N94" s="247"/>
      <c r="O94" s="248"/>
      <c r="P94" s="252"/>
      <c r="Q94" s="247"/>
      <c r="R94" s="248"/>
      <c r="S94" s="252"/>
      <c r="T94" s="247"/>
      <c r="U94" s="248"/>
      <c r="V94" s="252"/>
      <c r="W94" s="247"/>
      <c r="X94" s="248"/>
      <c r="Y94" s="252"/>
      <c r="Z94" s="247"/>
      <c r="AA94" s="248"/>
      <c r="AB94" s="252"/>
      <c r="AC94" s="247"/>
      <c r="AD94" s="248"/>
      <c r="AE94" s="245"/>
      <c r="AF94" s="247"/>
      <c r="AG94" s="248"/>
      <c r="AH94" s="245"/>
      <c r="AI94" s="247"/>
      <c r="AJ94" s="248"/>
      <c r="AK94" s="252"/>
      <c r="AL94" s="247"/>
      <c r="AM94" s="248"/>
      <c r="AN94" s="252"/>
      <c r="AO94" s="247"/>
      <c r="AP94" s="248"/>
      <c r="AQ94" s="245"/>
      <c r="AR94" s="247"/>
      <c r="AS94" s="248"/>
      <c r="AT94" s="245"/>
      <c r="AU94" s="247"/>
      <c r="AV94" s="248"/>
      <c r="AW94" s="229">
        <f t="shared" ref="AW94" si="191">SUM(D94,G94,J94,M94,P94,S94,V94,AK94,AN94,AT94)</f>
        <v>0</v>
      </c>
      <c r="AX94" s="231" t="str">
        <f t="shared" ref="AX94" si="192">IF(AW94=0,"",AVERAGE(D94,G94,J94,M94,P94,S94,V94,AK94,AN94,AT94))</f>
        <v/>
      </c>
      <c r="AY94" s="249">
        <f t="shared" ref="AY94" si="193">RANK(AW94,$AW$8:$AW$103,0)</f>
        <v>1</v>
      </c>
      <c r="AZ94" s="251">
        <f t="shared" ref="AZ94" si="194">$AZ$8</f>
        <v>0</v>
      </c>
      <c r="BA94" s="217">
        <v>0</v>
      </c>
      <c r="BB94" s="219">
        <f t="shared" ref="BB94" si="195">AZ94-BA94</f>
        <v>0</v>
      </c>
      <c r="BC94" s="241">
        <f>BH62</f>
        <v>0</v>
      </c>
      <c r="BD94" s="176">
        <f>BJ51</f>
        <v>0</v>
      </c>
      <c r="BE94" s="221">
        <f>BG51</f>
        <v>0</v>
      </c>
      <c r="BF94" s="177">
        <f t="shared" si="145"/>
        <v>0</v>
      </c>
    </row>
    <row r="95" spans="1:58" ht="12.75" customHeight="1" x14ac:dyDescent="0.15">
      <c r="A95" s="189">
        <f>BM51</f>
        <v>0</v>
      </c>
      <c r="B95" s="180">
        <f>BN51</f>
        <v>0</v>
      </c>
      <c r="C95" s="192"/>
      <c r="D95" s="255"/>
      <c r="E95" s="243"/>
      <c r="F95" s="244"/>
      <c r="G95" s="257"/>
      <c r="H95" s="243"/>
      <c r="I95" s="244"/>
      <c r="J95" s="253"/>
      <c r="K95" s="243"/>
      <c r="L95" s="244"/>
      <c r="M95" s="253"/>
      <c r="N95" s="243"/>
      <c r="O95" s="244"/>
      <c r="P95" s="253"/>
      <c r="Q95" s="243"/>
      <c r="R95" s="244"/>
      <c r="S95" s="253"/>
      <c r="T95" s="243"/>
      <c r="U95" s="244"/>
      <c r="V95" s="253"/>
      <c r="W95" s="243"/>
      <c r="X95" s="244"/>
      <c r="Y95" s="253"/>
      <c r="Z95" s="243"/>
      <c r="AA95" s="244"/>
      <c r="AB95" s="253"/>
      <c r="AC95" s="243"/>
      <c r="AD95" s="244"/>
      <c r="AE95" s="246"/>
      <c r="AF95" s="243"/>
      <c r="AG95" s="244"/>
      <c r="AH95" s="246"/>
      <c r="AI95" s="243"/>
      <c r="AJ95" s="244"/>
      <c r="AK95" s="253"/>
      <c r="AL95" s="243"/>
      <c r="AM95" s="244"/>
      <c r="AN95" s="253"/>
      <c r="AO95" s="243"/>
      <c r="AP95" s="244"/>
      <c r="AQ95" s="246"/>
      <c r="AR95" s="243"/>
      <c r="AS95" s="244"/>
      <c r="AT95" s="246"/>
      <c r="AU95" s="243"/>
      <c r="AV95" s="244"/>
      <c r="AW95" s="230"/>
      <c r="AX95" s="232"/>
      <c r="AY95" s="250"/>
      <c r="AZ95" s="236"/>
      <c r="BA95" s="218"/>
      <c r="BB95" s="220"/>
      <c r="BC95" s="242"/>
      <c r="BD95" s="182">
        <f>BI51</f>
        <v>0</v>
      </c>
      <c r="BE95" s="222"/>
      <c r="BF95" s="177"/>
    </row>
    <row r="96" spans="1:58" ht="12.75" customHeight="1" x14ac:dyDescent="0.15">
      <c r="A96" s="187">
        <f>BL52</f>
        <v>45</v>
      </c>
      <c r="B96" s="174"/>
      <c r="C96" s="191"/>
      <c r="D96" s="254"/>
      <c r="E96" s="247"/>
      <c r="F96" s="248"/>
      <c r="G96" s="256"/>
      <c r="H96" s="247"/>
      <c r="I96" s="248"/>
      <c r="J96" s="252"/>
      <c r="K96" s="247"/>
      <c r="L96" s="248"/>
      <c r="M96" s="252"/>
      <c r="N96" s="247"/>
      <c r="O96" s="248"/>
      <c r="P96" s="252"/>
      <c r="Q96" s="247"/>
      <c r="R96" s="248"/>
      <c r="S96" s="252"/>
      <c r="T96" s="247"/>
      <c r="U96" s="248"/>
      <c r="V96" s="252"/>
      <c r="W96" s="247"/>
      <c r="X96" s="248"/>
      <c r="Y96" s="252"/>
      <c r="Z96" s="247"/>
      <c r="AA96" s="248"/>
      <c r="AB96" s="252"/>
      <c r="AC96" s="247"/>
      <c r="AD96" s="248"/>
      <c r="AE96" s="245"/>
      <c r="AF96" s="247"/>
      <c r="AG96" s="248"/>
      <c r="AH96" s="245"/>
      <c r="AI96" s="247"/>
      <c r="AJ96" s="248"/>
      <c r="AK96" s="252"/>
      <c r="AL96" s="247"/>
      <c r="AM96" s="248"/>
      <c r="AN96" s="252"/>
      <c r="AO96" s="247"/>
      <c r="AP96" s="248"/>
      <c r="AQ96" s="245"/>
      <c r="AR96" s="247"/>
      <c r="AS96" s="248"/>
      <c r="AT96" s="245"/>
      <c r="AU96" s="247"/>
      <c r="AV96" s="248"/>
      <c r="AW96" s="229">
        <f t="shared" ref="AW96" si="196">SUM(D96,G96,J96,M96,P96,S96,V96,AK96,AN96,AT96)</f>
        <v>0</v>
      </c>
      <c r="AX96" s="231" t="str">
        <f t="shared" ref="AX96" si="197">IF(AW96=0,"",AVERAGE(D96,G96,J96,M96,P96,S96,V96,AK96,AN96,AT96))</f>
        <v/>
      </c>
      <c r="AY96" s="249">
        <f t="shared" ref="AY96" si="198">RANK(AW96,$AW$8:$AW$103,0)</f>
        <v>1</v>
      </c>
      <c r="AZ96" s="251">
        <f t="shared" ref="AZ96" si="199">$AZ$8</f>
        <v>0</v>
      </c>
      <c r="BA96" s="217">
        <v>0</v>
      </c>
      <c r="BB96" s="219">
        <f t="shared" ref="BB96" si="200">AZ96-BA96</f>
        <v>0</v>
      </c>
      <c r="BC96" s="241">
        <f>BH64</f>
        <v>0</v>
      </c>
      <c r="BD96" s="176">
        <f>BJ52</f>
        <v>0</v>
      </c>
      <c r="BE96" s="221">
        <f>BG52</f>
        <v>0</v>
      </c>
      <c r="BF96" s="177">
        <f t="shared" si="145"/>
        <v>0</v>
      </c>
    </row>
    <row r="97" spans="1:58" ht="12.75" customHeight="1" x14ac:dyDescent="0.15">
      <c r="A97" s="189">
        <f>BM52</f>
        <v>0</v>
      </c>
      <c r="B97" s="180">
        <f>BN52</f>
        <v>0</v>
      </c>
      <c r="C97" s="192"/>
      <c r="D97" s="255"/>
      <c r="E97" s="243"/>
      <c r="F97" s="244"/>
      <c r="G97" s="257"/>
      <c r="H97" s="243"/>
      <c r="I97" s="244"/>
      <c r="J97" s="253"/>
      <c r="K97" s="243"/>
      <c r="L97" s="244"/>
      <c r="M97" s="253"/>
      <c r="N97" s="243"/>
      <c r="O97" s="244"/>
      <c r="P97" s="253"/>
      <c r="Q97" s="243"/>
      <c r="R97" s="244"/>
      <c r="S97" s="253"/>
      <c r="T97" s="243"/>
      <c r="U97" s="244"/>
      <c r="V97" s="253"/>
      <c r="W97" s="243"/>
      <c r="X97" s="244"/>
      <c r="Y97" s="253"/>
      <c r="Z97" s="243"/>
      <c r="AA97" s="244"/>
      <c r="AB97" s="253"/>
      <c r="AC97" s="243"/>
      <c r="AD97" s="244"/>
      <c r="AE97" s="246"/>
      <c r="AF97" s="243"/>
      <c r="AG97" s="244"/>
      <c r="AH97" s="246"/>
      <c r="AI97" s="243"/>
      <c r="AJ97" s="244"/>
      <c r="AK97" s="253"/>
      <c r="AL97" s="243"/>
      <c r="AM97" s="244"/>
      <c r="AN97" s="253"/>
      <c r="AO97" s="243"/>
      <c r="AP97" s="244"/>
      <c r="AQ97" s="246"/>
      <c r="AR97" s="243"/>
      <c r="AS97" s="244"/>
      <c r="AT97" s="246"/>
      <c r="AU97" s="243"/>
      <c r="AV97" s="244"/>
      <c r="AW97" s="230"/>
      <c r="AX97" s="232"/>
      <c r="AY97" s="250"/>
      <c r="AZ97" s="236"/>
      <c r="BA97" s="218"/>
      <c r="BB97" s="220"/>
      <c r="BC97" s="242"/>
      <c r="BD97" s="182">
        <f>BI52</f>
        <v>0</v>
      </c>
      <c r="BE97" s="222"/>
      <c r="BF97" s="177"/>
    </row>
    <row r="98" spans="1:58" ht="12.75" customHeight="1" x14ac:dyDescent="0.15">
      <c r="A98" s="187">
        <f>BL53</f>
        <v>46</v>
      </c>
      <c r="B98" s="174"/>
      <c r="C98" s="191"/>
      <c r="D98" s="254"/>
      <c r="E98" s="247"/>
      <c r="F98" s="248"/>
      <c r="G98" s="256"/>
      <c r="H98" s="247"/>
      <c r="I98" s="248"/>
      <c r="J98" s="252"/>
      <c r="K98" s="247"/>
      <c r="L98" s="248"/>
      <c r="M98" s="252"/>
      <c r="N98" s="247"/>
      <c r="O98" s="248"/>
      <c r="P98" s="252"/>
      <c r="Q98" s="247"/>
      <c r="R98" s="248"/>
      <c r="S98" s="252"/>
      <c r="T98" s="247"/>
      <c r="U98" s="248"/>
      <c r="V98" s="252"/>
      <c r="W98" s="247"/>
      <c r="X98" s="248"/>
      <c r="Y98" s="252"/>
      <c r="Z98" s="247"/>
      <c r="AA98" s="248"/>
      <c r="AB98" s="252"/>
      <c r="AC98" s="247"/>
      <c r="AD98" s="248"/>
      <c r="AE98" s="245"/>
      <c r="AF98" s="247"/>
      <c r="AG98" s="248"/>
      <c r="AH98" s="245"/>
      <c r="AI98" s="247"/>
      <c r="AJ98" s="248"/>
      <c r="AK98" s="252"/>
      <c r="AL98" s="247"/>
      <c r="AM98" s="248"/>
      <c r="AN98" s="252"/>
      <c r="AO98" s="247"/>
      <c r="AP98" s="248"/>
      <c r="AQ98" s="245"/>
      <c r="AR98" s="247"/>
      <c r="AS98" s="248"/>
      <c r="AT98" s="245"/>
      <c r="AU98" s="247"/>
      <c r="AV98" s="248"/>
      <c r="AW98" s="229">
        <f t="shared" ref="AW98" si="201">SUM(D98,G98,J98,M98,P98,S98,V98,AK98,AN98,AT98)</f>
        <v>0</v>
      </c>
      <c r="AX98" s="231" t="str">
        <f t="shared" ref="AX98" si="202">IF(AW98=0,"",AVERAGE(D98,G98,J98,M98,P98,S98,V98,AK98,AN98,AT98))</f>
        <v/>
      </c>
      <c r="AY98" s="249">
        <f t="shared" ref="AY98" si="203">RANK(AW98,$AW$8:$AW$103,0)</f>
        <v>1</v>
      </c>
      <c r="AZ98" s="251">
        <f t="shared" ref="AZ98" si="204">$AZ$8</f>
        <v>0</v>
      </c>
      <c r="BA98" s="217">
        <v>0</v>
      </c>
      <c r="BB98" s="219">
        <f t="shared" ref="BB98" si="205">AZ98-BA98</f>
        <v>0</v>
      </c>
      <c r="BC98" s="241">
        <f>BH66</f>
        <v>0</v>
      </c>
      <c r="BD98" s="176">
        <f>BJ53</f>
        <v>0</v>
      </c>
      <c r="BE98" s="221">
        <f>BG53</f>
        <v>0</v>
      </c>
      <c r="BF98" s="177">
        <f t="shared" si="145"/>
        <v>0</v>
      </c>
    </row>
    <row r="99" spans="1:58" ht="12.75" customHeight="1" x14ac:dyDescent="0.15">
      <c r="A99" s="189">
        <f>BM53</f>
        <v>0</v>
      </c>
      <c r="B99" s="180">
        <f>BN53</f>
        <v>0</v>
      </c>
      <c r="C99" s="192"/>
      <c r="D99" s="255"/>
      <c r="E99" s="243"/>
      <c r="F99" s="244"/>
      <c r="G99" s="257"/>
      <c r="H99" s="243"/>
      <c r="I99" s="244"/>
      <c r="J99" s="253"/>
      <c r="K99" s="243"/>
      <c r="L99" s="244"/>
      <c r="M99" s="253"/>
      <c r="N99" s="243"/>
      <c r="O99" s="244"/>
      <c r="P99" s="253"/>
      <c r="Q99" s="243"/>
      <c r="R99" s="244"/>
      <c r="S99" s="253"/>
      <c r="T99" s="243"/>
      <c r="U99" s="244"/>
      <c r="V99" s="253"/>
      <c r="W99" s="243"/>
      <c r="X99" s="244"/>
      <c r="Y99" s="253"/>
      <c r="Z99" s="243"/>
      <c r="AA99" s="244"/>
      <c r="AB99" s="253"/>
      <c r="AC99" s="243"/>
      <c r="AD99" s="244"/>
      <c r="AE99" s="246"/>
      <c r="AF99" s="243"/>
      <c r="AG99" s="244"/>
      <c r="AH99" s="246"/>
      <c r="AI99" s="243"/>
      <c r="AJ99" s="244"/>
      <c r="AK99" s="253"/>
      <c r="AL99" s="243"/>
      <c r="AM99" s="244"/>
      <c r="AN99" s="253"/>
      <c r="AO99" s="243"/>
      <c r="AP99" s="244"/>
      <c r="AQ99" s="246"/>
      <c r="AR99" s="243"/>
      <c r="AS99" s="244"/>
      <c r="AT99" s="246"/>
      <c r="AU99" s="243"/>
      <c r="AV99" s="244"/>
      <c r="AW99" s="230"/>
      <c r="AX99" s="232"/>
      <c r="AY99" s="250"/>
      <c r="AZ99" s="236"/>
      <c r="BA99" s="218"/>
      <c r="BB99" s="220"/>
      <c r="BC99" s="242"/>
      <c r="BD99" s="182">
        <f>BI53</f>
        <v>0</v>
      </c>
      <c r="BE99" s="222"/>
      <c r="BF99" s="177"/>
    </row>
    <row r="100" spans="1:58" ht="12.75" customHeight="1" x14ac:dyDescent="0.15">
      <c r="A100" s="187">
        <f>BL54</f>
        <v>47</v>
      </c>
      <c r="B100" s="174"/>
      <c r="C100" s="191"/>
      <c r="D100" s="254"/>
      <c r="E100" s="247"/>
      <c r="F100" s="248"/>
      <c r="G100" s="256"/>
      <c r="H100" s="247"/>
      <c r="I100" s="248"/>
      <c r="J100" s="252"/>
      <c r="K100" s="247"/>
      <c r="L100" s="248"/>
      <c r="M100" s="252"/>
      <c r="N100" s="247"/>
      <c r="O100" s="248"/>
      <c r="P100" s="252"/>
      <c r="Q100" s="247"/>
      <c r="R100" s="248"/>
      <c r="S100" s="252"/>
      <c r="T100" s="247"/>
      <c r="U100" s="248"/>
      <c r="V100" s="252"/>
      <c r="W100" s="247"/>
      <c r="X100" s="248"/>
      <c r="Y100" s="252"/>
      <c r="Z100" s="247"/>
      <c r="AA100" s="248"/>
      <c r="AB100" s="252"/>
      <c r="AC100" s="247"/>
      <c r="AD100" s="248"/>
      <c r="AE100" s="245"/>
      <c r="AF100" s="247"/>
      <c r="AG100" s="248"/>
      <c r="AH100" s="245"/>
      <c r="AI100" s="247"/>
      <c r="AJ100" s="248"/>
      <c r="AK100" s="252"/>
      <c r="AL100" s="247"/>
      <c r="AM100" s="248"/>
      <c r="AN100" s="252"/>
      <c r="AO100" s="247"/>
      <c r="AP100" s="248"/>
      <c r="AQ100" s="245"/>
      <c r="AR100" s="247"/>
      <c r="AS100" s="248"/>
      <c r="AT100" s="245"/>
      <c r="AU100" s="247"/>
      <c r="AV100" s="248"/>
      <c r="AW100" s="229">
        <f t="shared" ref="AW100" si="206">SUM(D100,G100,J100,M100,P100,S100,V100,AK100,AN100,AT100)</f>
        <v>0</v>
      </c>
      <c r="AX100" s="231" t="str">
        <f t="shared" ref="AX100" si="207">IF(AW100=0,"",AVERAGE(D100,G100,J100,M100,P100,S100,V100,AK100,AN100,AT100))</f>
        <v/>
      </c>
      <c r="AY100" s="249">
        <f t="shared" ref="AY100" si="208">RANK(AW100,$AW$8:$AW$103,0)</f>
        <v>1</v>
      </c>
      <c r="AZ100" s="251">
        <f t="shared" ref="AZ100" si="209">$AZ$8</f>
        <v>0</v>
      </c>
      <c r="BA100" s="217">
        <v>0</v>
      </c>
      <c r="BB100" s="219">
        <f t="shared" ref="BB100" si="210">AZ100-BA100</f>
        <v>0</v>
      </c>
      <c r="BC100" s="241">
        <f>BH68</f>
        <v>0</v>
      </c>
      <c r="BD100" s="176">
        <f>BJ54</f>
        <v>0</v>
      </c>
      <c r="BE100" s="221">
        <f>BG54</f>
        <v>0</v>
      </c>
      <c r="BF100" s="177">
        <f t="shared" si="145"/>
        <v>0</v>
      </c>
    </row>
    <row r="101" spans="1:58" ht="12.75" customHeight="1" x14ac:dyDescent="0.15">
      <c r="A101" s="189">
        <f>BM54</f>
        <v>0</v>
      </c>
      <c r="B101" s="180">
        <f>BN54</f>
        <v>0</v>
      </c>
      <c r="C101" s="192"/>
      <c r="D101" s="255"/>
      <c r="E101" s="243"/>
      <c r="F101" s="244"/>
      <c r="G101" s="257"/>
      <c r="H101" s="243"/>
      <c r="I101" s="244"/>
      <c r="J101" s="253"/>
      <c r="K101" s="243"/>
      <c r="L101" s="244"/>
      <c r="M101" s="253"/>
      <c r="N101" s="243"/>
      <c r="O101" s="244"/>
      <c r="P101" s="253"/>
      <c r="Q101" s="243"/>
      <c r="R101" s="244"/>
      <c r="S101" s="253"/>
      <c r="T101" s="243"/>
      <c r="U101" s="244"/>
      <c r="V101" s="253"/>
      <c r="W101" s="243"/>
      <c r="X101" s="244"/>
      <c r="Y101" s="253"/>
      <c r="Z101" s="243"/>
      <c r="AA101" s="244"/>
      <c r="AB101" s="253"/>
      <c r="AC101" s="243"/>
      <c r="AD101" s="244"/>
      <c r="AE101" s="246"/>
      <c r="AF101" s="243"/>
      <c r="AG101" s="244"/>
      <c r="AH101" s="246"/>
      <c r="AI101" s="243"/>
      <c r="AJ101" s="244"/>
      <c r="AK101" s="253"/>
      <c r="AL101" s="243"/>
      <c r="AM101" s="244"/>
      <c r="AN101" s="253"/>
      <c r="AO101" s="243"/>
      <c r="AP101" s="244"/>
      <c r="AQ101" s="246"/>
      <c r="AR101" s="243"/>
      <c r="AS101" s="244"/>
      <c r="AT101" s="246"/>
      <c r="AU101" s="243"/>
      <c r="AV101" s="244"/>
      <c r="AW101" s="230"/>
      <c r="AX101" s="232"/>
      <c r="AY101" s="250"/>
      <c r="AZ101" s="236"/>
      <c r="BA101" s="218"/>
      <c r="BB101" s="220"/>
      <c r="BC101" s="242"/>
      <c r="BD101" s="182">
        <f>BI54</f>
        <v>0</v>
      </c>
      <c r="BE101" s="222"/>
      <c r="BF101" s="177"/>
    </row>
    <row r="102" spans="1:58" ht="12.75" customHeight="1" x14ac:dyDescent="0.15">
      <c r="A102" s="187">
        <f>BL55</f>
        <v>48</v>
      </c>
      <c r="B102" s="174"/>
      <c r="C102" s="191"/>
      <c r="D102" s="254"/>
      <c r="E102" s="247"/>
      <c r="F102" s="248"/>
      <c r="G102" s="256"/>
      <c r="H102" s="247"/>
      <c r="I102" s="248"/>
      <c r="J102" s="252"/>
      <c r="K102" s="247"/>
      <c r="L102" s="248"/>
      <c r="M102" s="252"/>
      <c r="N102" s="247"/>
      <c r="O102" s="248"/>
      <c r="P102" s="252"/>
      <c r="Q102" s="247"/>
      <c r="R102" s="248"/>
      <c r="S102" s="252"/>
      <c r="T102" s="247"/>
      <c r="U102" s="248"/>
      <c r="V102" s="252"/>
      <c r="W102" s="247"/>
      <c r="X102" s="248"/>
      <c r="Y102" s="252"/>
      <c r="Z102" s="247"/>
      <c r="AA102" s="248"/>
      <c r="AB102" s="252"/>
      <c r="AC102" s="247"/>
      <c r="AD102" s="248"/>
      <c r="AE102" s="245"/>
      <c r="AF102" s="247"/>
      <c r="AG102" s="248"/>
      <c r="AH102" s="245"/>
      <c r="AI102" s="247"/>
      <c r="AJ102" s="248"/>
      <c r="AK102" s="252"/>
      <c r="AL102" s="247"/>
      <c r="AM102" s="248"/>
      <c r="AN102" s="252"/>
      <c r="AO102" s="247"/>
      <c r="AP102" s="248"/>
      <c r="AQ102" s="245"/>
      <c r="AR102" s="247"/>
      <c r="AS102" s="248"/>
      <c r="AT102" s="245"/>
      <c r="AU102" s="247"/>
      <c r="AV102" s="248"/>
      <c r="AW102" s="229">
        <f t="shared" ref="AW102" si="211">SUM(D102,G102,J102,M102,P102,S102,V102,AK102,AN102,AT102)</f>
        <v>0</v>
      </c>
      <c r="AX102" s="231" t="str">
        <f t="shared" ref="AX102" si="212">IF(AW102=0,"",AVERAGE(D102,G102,J102,M102,P102,S102,V102,AK102,AN102,AT102))</f>
        <v/>
      </c>
      <c r="AY102" s="249">
        <f t="shared" ref="AY102" si="213">RANK(AW102,$AW$8:$AW$103,0)</f>
        <v>1</v>
      </c>
      <c r="AZ102" s="251">
        <f t="shared" ref="AZ102" si="214">$AZ$8</f>
        <v>0</v>
      </c>
      <c r="BA102" s="217">
        <v>0</v>
      </c>
      <c r="BB102" s="219">
        <f t="shared" ref="BB102" si="215">AZ102-BA102</f>
        <v>0</v>
      </c>
      <c r="BC102" s="241">
        <f>BH70</f>
        <v>0</v>
      </c>
      <c r="BD102" s="176">
        <f>BJ55</f>
        <v>0</v>
      </c>
      <c r="BE102" s="221">
        <f>BG55</f>
        <v>0</v>
      </c>
      <c r="BF102" s="177">
        <f t="shared" si="145"/>
        <v>0</v>
      </c>
    </row>
    <row r="103" spans="1:58" ht="12.75" customHeight="1" x14ac:dyDescent="0.15">
      <c r="A103" s="189">
        <f>BM55</f>
        <v>0</v>
      </c>
      <c r="B103" s="180">
        <f>BN55</f>
        <v>0</v>
      </c>
      <c r="C103" s="192"/>
      <c r="D103" s="255"/>
      <c r="E103" s="243"/>
      <c r="F103" s="244"/>
      <c r="G103" s="257"/>
      <c r="H103" s="243"/>
      <c r="I103" s="244"/>
      <c r="J103" s="253"/>
      <c r="K103" s="243"/>
      <c r="L103" s="244"/>
      <c r="M103" s="253"/>
      <c r="N103" s="243"/>
      <c r="O103" s="244"/>
      <c r="P103" s="253"/>
      <c r="Q103" s="243"/>
      <c r="R103" s="244"/>
      <c r="S103" s="253"/>
      <c r="T103" s="243"/>
      <c r="U103" s="244"/>
      <c r="V103" s="253"/>
      <c r="W103" s="243"/>
      <c r="X103" s="244"/>
      <c r="Y103" s="253"/>
      <c r="Z103" s="243"/>
      <c r="AA103" s="244"/>
      <c r="AB103" s="253"/>
      <c r="AC103" s="243"/>
      <c r="AD103" s="244"/>
      <c r="AE103" s="246"/>
      <c r="AF103" s="243"/>
      <c r="AG103" s="244"/>
      <c r="AH103" s="246"/>
      <c r="AI103" s="243"/>
      <c r="AJ103" s="244"/>
      <c r="AK103" s="253"/>
      <c r="AL103" s="243"/>
      <c r="AM103" s="244"/>
      <c r="AN103" s="253"/>
      <c r="AO103" s="243"/>
      <c r="AP103" s="244"/>
      <c r="AQ103" s="246"/>
      <c r="AR103" s="243"/>
      <c r="AS103" s="244"/>
      <c r="AT103" s="246"/>
      <c r="AU103" s="243"/>
      <c r="AV103" s="244"/>
      <c r="AW103" s="230"/>
      <c r="AX103" s="232"/>
      <c r="AY103" s="250"/>
      <c r="AZ103" s="236"/>
      <c r="BA103" s="218"/>
      <c r="BB103" s="220"/>
      <c r="BC103" s="242"/>
      <c r="BD103" s="182">
        <f>BI55</f>
        <v>0</v>
      </c>
      <c r="BE103" s="222"/>
      <c r="BF103" s="177"/>
    </row>
    <row r="104" spans="1:58" ht="12.75" customHeight="1" x14ac:dyDescent="0.15">
      <c r="A104" s="193"/>
      <c r="B104" s="194" t="s">
        <v>166</v>
      </c>
      <c r="C104" s="195"/>
      <c r="D104" s="237"/>
      <c r="E104" s="239"/>
      <c r="F104" s="240"/>
      <c r="G104" s="237"/>
      <c r="H104" s="239"/>
      <c r="I104" s="240"/>
      <c r="J104" s="237"/>
      <c r="K104" s="239"/>
      <c r="L104" s="240"/>
      <c r="M104" s="237"/>
      <c r="N104" s="239"/>
      <c r="O104" s="240"/>
      <c r="P104" s="237"/>
      <c r="Q104" s="239"/>
      <c r="R104" s="240"/>
      <c r="S104" s="237"/>
      <c r="T104" s="239"/>
      <c r="U104" s="240"/>
      <c r="V104" s="237"/>
      <c r="W104" s="239"/>
      <c r="X104" s="240"/>
      <c r="Y104" s="237"/>
      <c r="Z104" s="239"/>
      <c r="AA104" s="240"/>
      <c r="AB104" s="237"/>
      <c r="AC104" s="227"/>
      <c r="AD104" s="228"/>
      <c r="AE104" s="225"/>
      <c r="AF104" s="227"/>
      <c r="AG104" s="228"/>
      <c r="AH104" s="225"/>
      <c r="AI104" s="227"/>
      <c r="AJ104" s="228"/>
      <c r="AK104" s="237"/>
      <c r="AL104" s="239"/>
      <c r="AM104" s="240"/>
      <c r="AN104" s="237"/>
      <c r="AO104" s="227"/>
      <c r="AP104" s="228"/>
      <c r="AQ104" s="225"/>
      <c r="AR104" s="227"/>
      <c r="AS104" s="228"/>
      <c r="AT104" s="225"/>
      <c r="AU104" s="227"/>
      <c r="AV104" s="228"/>
      <c r="AW104" s="229"/>
      <c r="AX104" s="231" t="str">
        <f>IF(AW104=0,"",AVERAGE(D104,G104,J104,M104,P104,S104,V104,AK104,AN104,AT104))</f>
        <v/>
      </c>
      <c r="AY104" s="233"/>
      <c r="AZ104" s="235"/>
      <c r="BA104" s="217"/>
      <c r="BB104" s="219"/>
      <c r="BC104" s="219"/>
      <c r="BD104" s="176"/>
      <c r="BE104" s="221"/>
      <c r="BF104" s="177"/>
    </row>
    <row r="105" spans="1:58" ht="12.75" customHeight="1" x14ac:dyDescent="0.15">
      <c r="A105" s="196"/>
      <c r="B105" s="197"/>
      <c r="C105" s="198"/>
      <c r="D105" s="238"/>
      <c r="E105" s="223">
        <f>E9-ROUNDUP((E9*0.67),0)</f>
        <v>0</v>
      </c>
      <c r="F105" s="224"/>
      <c r="G105" s="238"/>
      <c r="H105" s="223">
        <f>H9-ROUNDUP((H9*0.67),0)</f>
        <v>0</v>
      </c>
      <c r="I105" s="224"/>
      <c r="J105" s="238"/>
      <c r="K105" s="223">
        <f>K9-ROUNDUP((K9*0.67),0)</f>
        <v>0</v>
      </c>
      <c r="L105" s="224"/>
      <c r="M105" s="238"/>
      <c r="N105" s="223">
        <f>N9-ROUNDUP((N9*0.67),0)</f>
        <v>0</v>
      </c>
      <c r="O105" s="224"/>
      <c r="P105" s="238"/>
      <c r="Q105" s="223">
        <f>Q9-ROUNDUP((Q9*0.67),0)</f>
        <v>0</v>
      </c>
      <c r="R105" s="224"/>
      <c r="S105" s="238"/>
      <c r="T105" s="223">
        <f>T9-ROUNDUP((T9*0.67),0)</f>
        <v>0</v>
      </c>
      <c r="U105" s="224"/>
      <c r="V105" s="238"/>
      <c r="W105" s="223">
        <f>W9-ROUNDUP((W9*0.67),0)</f>
        <v>0</v>
      </c>
      <c r="X105" s="224"/>
      <c r="Y105" s="238"/>
      <c r="Z105" s="223">
        <f>Z9-ROUNDUP((Z9*0.67),0)</f>
        <v>0</v>
      </c>
      <c r="AA105" s="224"/>
      <c r="AB105" s="238"/>
      <c r="AC105" s="223">
        <f>AC9-ROUNDUP((AC9*0.67),0)</f>
        <v>0</v>
      </c>
      <c r="AD105" s="224"/>
      <c r="AE105" s="226"/>
      <c r="AF105" s="223">
        <f>AF9-ROUNDUP((AF9*0.67),0)</f>
        <v>0</v>
      </c>
      <c r="AG105" s="224"/>
      <c r="AH105" s="226"/>
      <c r="AI105" s="223">
        <f>AI9-ROUNDUP((AI9*0.67),0)</f>
        <v>0</v>
      </c>
      <c r="AJ105" s="224"/>
      <c r="AK105" s="238"/>
      <c r="AL105" s="223">
        <f>AL9-ROUNDUP((AL9*0.67),0)</f>
        <v>0</v>
      </c>
      <c r="AM105" s="224"/>
      <c r="AN105" s="238"/>
      <c r="AO105" s="223">
        <f>AO9-ROUNDUP((AO9*0.67),0)</f>
        <v>0</v>
      </c>
      <c r="AP105" s="224"/>
      <c r="AQ105" s="226"/>
      <c r="AR105" s="223">
        <f>AR9-ROUNDUP((AR9*0.67),0)</f>
        <v>0</v>
      </c>
      <c r="AS105" s="224"/>
      <c r="AT105" s="226"/>
      <c r="AU105" s="223">
        <f>AU9-ROUNDUP((AU9*0.67),0)</f>
        <v>0</v>
      </c>
      <c r="AV105" s="224"/>
      <c r="AW105" s="230"/>
      <c r="AX105" s="232"/>
      <c r="AY105" s="234"/>
      <c r="AZ105" s="236"/>
      <c r="BA105" s="218"/>
      <c r="BB105" s="220"/>
      <c r="BC105" s="220"/>
      <c r="BD105" s="182"/>
      <c r="BE105" s="222"/>
      <c r="BF105" s="177"/>
    </row>
    <row r="106" spans="1:58" ht="26.25" customHeight="1" x14ac:dyDescent="0.15">
      <c r="A106" s="216" t="s">
        <v>167</v>
      </c>
      <c r="B106" s="214"/>
      <c r="C106" s="215"/>
      <c r="D106" s="213">
        <f>SUM(D8:D102)</f>
        <v>0</v>
      </c>
      <c r="E106" s="214"/>
      <c r="F106" s="215"/>
      <c r="G106" s="213">
        <f>SUM(G8:G102)</f>
        <v>0</v>
      </c>
      <c r="H106" s="214"/>
      <c r="I106" s="215"/>
      <c r="J106" s="213">
        <f>SUM(J8:J102)</f>
        <v>0</v>
      </c>
      <c r="K106" s="214"/>
      <c r="L106" s="215"/>
      <c r="M106" s="213">
        <f>SUM(M8:M102)</f>
        <v>0</v>
      </c>
      <c r="N106" s="214"/>
      <c r="O106" s="215"/>
      <c r="P106" s="213">
        <f>SUM(P8:P102)</f>
        <v>0</v>
      </c>
      <c r="Q106" s="214"/>
      <c r="R106" s="215"/>
      <c r="S106" s="213">
        <f>SUM(S8:S102)</f>
        <v>0</v>
      </c>
      <c r="T106" s="214"/>
      <c r="U106" s="215"/>
      <c r="V106" s="213">
        <f>SUM(V8:V102)</f>
        <v>0</v>
      </c>
      <c r="W106" s="214"/>
      <c r="X106" s="215"/>
      <c r="Y106" s="213">
        <f>SUM(Y8:Y102)</f>
        <v>0</v>
      </c>
      <c r="Z106" s="214"/>
      <c r="AA106" s="215"/>
      <c r="AB106" s="213">
        <f>SUM(AB8:AB102)</f>
        <v>0</v>
      </c>
      <c r="AC106" s="214"/>
      <c r="AD106" s="215"/>
      <c r="AE106" s="213">
        <f>SUM(AE8:AE102)</f>
        <v>0</v>
      </c>
      <c r="AF106" s="214"/>
      <c r="AG106" s="215"/>
      <c r="AH106" s="213">
        <f>SUM(AH8:AH102)</f>
        <v>0</v>
      </c>
      <c r="AI106" s="214"/>
      <c r="AJ106" s="215"/>
      <c r="AK106" s="213">
        <f>SUM(AK8:AK102)</f>
        <v>0</v>
      </c>
      <c r="AL106" s="214"/>
      <c r="AM106" s="215"/>
      <c r="AN106" s="213">
        <f>SUM(AN8:AN102)</f>
        <v>0</v>
      </c>
      <c r="AO106" s="214"/>
      <c r="AP106" s="215"/>
      <c r="AQ106" s="213">
        <f>SUM(AQ8:AQ102)</f>
        <v>0</v>
      </c>
      <c r="AR106" s="214"/>
      <c r="AS106" s="215"/>
      <c r="AT106" s="213">
        <f>SUM(AT8:AT102)</f>
        <v>0</v>
      </c>
      <c r="AU106" s="214"/>
      <c r="AV106" s="215"/>
      <c r="AW106" s="199">
        <f>SUM(AW8:AW103)</f>
        <v>0</v>
      </c>
      <c r="AX106" s="200"/>
      <c r="AY106" s="200"/>
      <c r="AZ106" s="201"/>
      <c r="BA106" s="202"/>
      <c r="BB106" s="202"/>
      <c r="BC106" s="202"/>
      <c r="BD106" s="202"/>
      <c r="BE106" s="203"/>
    </row>
    <row r="107" spans="1:58" ht="26.25" customHeight="1" thickBot="1" x14ac:dyDescent="0.2">
      <c r="A107" s="216" t="s">
        <v>168</v>
      </c>
      <c r="B107" s="214"/>
      <c r="C107" s="215"/>
      <c r="D107" s="210" t="str">
        <f>IF(D106=0,"",AVERAGE(D8:D102))</f>
        <v/>
      </c>
      <c r="E107" s="211"/>
      <c r="F107" s="212"/>
      <c r="G107" s="210" t="str">
        <f>IF(G106=0,"",AVERAGE(G8:G102))</f>
        <v/>
      </c>
      <c r="H107" s="211"/>
      <c r="I107" s="212"/>
      <c r="J107" s="210" t="str">
        <f>IF(J106=0,"",AVERAGE(J8:J102))</f>
        <v/>
      </c>
      <c r="K107" s="211"/>
      <c r="L107" s="212"/>
      <c r="M107" s="210" t="str">
        <f>IF(M106=0,"",AVERAGE(M8:M102))</f>
        <v/>
      </c>
      <c r="N107" s="211"/>
      <c r="O107" s="212"/>
      <c r="P107" s="210" t="str">
        <f>IF(P106=0,"",AVERAGE(P8:P102))</f>
        <v/>
      </c>
      <c r="Q107" s="211"/>
      <c r="R107" s="212"/>
      <c r="S107" s="210" t="str">
        <f>IF(S106=0,"",AVERAGE(S8:S102))</f>
        <v/>
      </c>
      <c r="T107" s="211"/>
      <c r="U107" s="212"/>
      <c r="V107" s="210" t="str">
        <f>IF(V106=0,"",AVERAGE(V8:V102))</f>
        <v/>
      </c>
      <c r="W107" s="211"/>
      <c r="X107" s="212"/>
      <c r="Y107" s="210" t="str">
        <f>IF(Y106=0,"",AVERAGE(Y8:Y102))</f>
        <v/>
      </c>
      <c r="Z107" s="211"/>
      <c r="AA107" s="212"/>
      <c r="AB107" s="210" t="str">
        <f>IF(AB106=0,"",AVERAGE(AB8:AB102))</f>
        <v/>
      </c>
      <c r="AC107" s="211"/>
      <c r="AD107" s="212"/>
      <c r="AE107" s="210" t="str">
        <f>IF(AE106=0,"",AVERAGE(AE8:AE102))</f>
        <v/>
      </c>
      <c r="AF107" s="211"/>
      <c r="AG107" s="212"/>
      <c r="AH107" s="210" t="str">
        <f>IF(AH106=0,"",AVERAGE(AH8:AH102))</f>
        <v/>
      </c>
      <c r="AI107" s="211"/>
      <c r="AJ107" s="212"/>
      <c r="AK107" s="210" t="str">
        <f>IF(AK106=0,"",AVERAGE(AK8:AK102))</f>
        <v/>
      </c>
      <c r="AL107" s="211"/>
      <c r="AM107" s="212"/>
      <c r="AN107" s="210" t="str">
        <f>IF(AN106=0,"",AVERAGE(AN8:AN102))</f>
        <v/>
      </c>
      <c r="AO107" s="211"/>
      <c r="AP107" s="212"/>
      <c r="AQ107" s="210" t="str">
        <f>IF(AQ106=0,"",AVERAGE(AQ8:AQ102))</f>
        <v/>
      </c>
      <c r="AR107" s="211"/>
      <c r="AS107" s="212"/>
      <c r="AT107" s="210" t="str">
        <f>IF(AT106=0,"",AVERAGE(AT8:AT102))</f>
        <v/>
      </c>
      <c r="AU107" s="211"/>
      <c r="AV107" s="212"/>
      <c r="AW107" s="204" t="str">
        <f>IF(AW106=0,"",AVERAGE(AW8:AW103))</f>
        <v/>
      </c>
      <c r="AX107" s="205" t="str">
        <f>IF(AW106=0,"",AVERAGE(AX8:AX103))</f>
        <v/>
      </c>
      <c r="AY107" s="200"/>
      <c r="AZ107" s="206"/>
      <c r="BA107" s="207"/>
      <c r="BB107" s="207"/>
      <c r="BC107" s="207"/>
      <c r="BD107" s="207"/>
      <c r="BE107" s="208"/>
    </row>
  </sheetData>
  <mergeCells count="2674">
    <mergeCell ref="Y102:Y103"/>
    <mergeCell ref="Z102:AA102"/>
    <mergeCell ref="AB102:AB103"/>
    <mergeCell ref="AC102:AD102"/>
    <mergeCell ref="AE102:AE103"/>
    <mergeCell ref="AF102:AG102"/>
    <mergeCell ref="AH102:AH103"/>
    <mergeCell ref="AI102:AJ102"/>
    <mergeCell ref="Z103:AA103"/>
    <mergeCell ref="AC103:AD103"/>
    <mergeCell ref="AF103:AG103"/>
    <mergeCell ref="AI103:AJ103"/>
    <mergeCell ref="Y104:Y105"/>
    <mergeCell ref="Z104:AA104"/>
    <mergeCell ref="AB104:AB105"/>
    <mergeCell ref="AC104:AD104"/>
    <mergeCell ref="AE104:AE105"/>
    <mergeCell ref="AF104:AG104"/>
    <mergeCell ref="AH104:AH105"/>
    <mergeCell ref="AI104:AJ104"/>
    <mergeCell ref="Z105:AA105"/>
    <mergeCell ref="AC105:AD105"/>
    <mergeCell ref="AF105:AG105"/>
    <mergeCell ref="AI105:AJ105"/>
    <mergeCell ref="Y96:Y97"/>
    <mergeCell ref="Z96:AA96"/>
    <mergeCell ref="AB96:AB97"/>
    <mergeCell ref="AC96:AD96"/>
    <mergeCell ref="AE96:AE97"/>
    <mergeCell ref="AF96:AG96"/>
    <mergeCell ref="AH96:AH97"/>
    <mergeCell ref="AI96:AJ96"/>
    <mergeCell ref="Z97:AA97"/>
    <mergeCell ref="AC97:AD97"/>
    <mergeCell ref="AF97:AG97"/>
    <mergeCell ref="AI97:AJ97"/>
    <mergeCell ref="Y98:Y99"/>
    <mergeCell ref="Z98:AA98"/>
    <mergeCell ref="AB98:AB99"/>
    <mergeCell ref="AC98:AD98"/>
    <mergeCell ref="AE98:AE99"/>
    <mergeCell ref="AF98:AG98"/>
    <mergeCell ref="AH98:AH99"/>
    <mergeCell ref="AI98:AJ98"/>
    <mergeCell ref="Z99:AA99"/>
    <mergeCell ref="AC99:AD99"/>
    <mergeCell ref="AF99:AG99"/>
    <mergeCell ref="AI99:AJ99"/>
    <mergeCell ref="Y90:Y91"/>
    <mergeCell ref="Z90:AA90"/>
    <mergeCell ref="AB90:AB91"/>
    <mergeCell ref="AC90:AD90"/>
    <mergeCell ref="AE90:AE91"/>
    <mergeCell ref="AF90:AG90"/>
    <mergeCell ref="AH90:AH91"/>
    <mergeCell ref="AI90:AJ90"/>
    <mergeCell ref="Z91:AA91"/>
    <mergeCell ref="AC91:AD91"/>
    <mergeCell ref="AF91:AG91"/>
    <mergeCell ref="AI91:AJ91"/>
    <mergeCell ref="Y92:Y93"/>
    <mergeCell ref="Z92:AA92"/>
    <mergeCell ref="AB92:AB93"/>
    <mergeCell ref="AC92:AD92"/>
    <mergeCell ref="AE92:AE93"/>
    <mergeCell ref="AF92:AG92"/>
    <mergeCell ref="AH92:AH93"/>
    <mergeCell ref="AI92:AJ92"/>
    <mergeCell ref="Z93:AA93"/>
    <mergeCell ref="AC93:AD93"/>
    <mergeCell ref="AF93:AG93"/>
    <mergeCell ref="AI93:AJ93"/>
    <mergeCell ref="Y84:Y85"/>
    <mergeCell ref="Z84:AA84"/>
    <mergeCell ref="AB84:AB85"/>
    <mergeCell ref="AC84:AD84"/>
    <mergeCell ref="AE84:AE85"/>
    <mergeCell ref="AF84:AG84"/>
    <mergeCell ref="AH84:AH85"/>
    <mergeCell ref="AI84:AJ84"/>
    <mergeCell ref="Z85:AA85"/>
    <mergeCell ref="AC85:AD85"/>
    <mergeCell ref="AF85:AG85"/>
    <mergeCell ref="AI85:AJ85"/>
    <mergeCell ref="Y86:Y87"/>
    <mergeCell ref="Z86:AA86"/>
    <mergeCell ref="AB86:AB87"/>
    <mergeCell ref="AC86:AD86"/>
    <mergeCell ref="AE86:AE87"/>
    <mergeCell ref="AF86:AG86"/>
    <mergeCell ref="AH86:AH87"/>
    <mergeCell ref="AI86:AJ86"/>
    <mergeCell ref="Z87:AA87"/>
    <mergeCell ref="AC87:AD87"/>
    <mergeCell ref="AF87:AG87"/>
    <mergeCell ref="AI87:AJ87"/>
    <mergeCell ref="Y78:Y79"/>
    <mergeCell ref="Z78:AA78"/>
    <mergeCell ref="AB78:AB79"/>
    <mergeCell ref="AC78:AD78"/>
    <mergeCell ref="AE78:AE79"/>
    <mergeCell ref="AF78:AG78"/>
    <mergeCell ref="AH78:AH79"/>
    <mergeCell ref="AI78:AJ78"/>
    <mergeCell ref="Z79:AA79"/>
    <mergeCell ref="AC79:AD79"/>
    <mergeCell ref="AF79:AG79"/>
    <mergeCell ref="AI79:AJ79"/>
    <mergeCell ref="Y80:Y81"/>
    <mergeCell ref="Z80:AA80"/>
    <mergeCell ref="AB80:AB81"/>
    <mergeCell ref="AC80:AD80"/>
    <mergeCell ref="AE80:AE81"/>
    <mergeCell ref="AF80:AG80"/>
    <mergeCell ref="AH80:AH81"/>
    <mergeCell ref="AI80:AJ80"/>
    <mergeCell ref="Z81:AA81"/>
    <mergeCell ref="AC81:AD81"/>
    <mergeCell ref="AF81:AG81"/>
    <mergeCell ref="AI81:AJ81"/>
    <mergeCell ref="Y72:Y73"/>
    <mergeCell ref="Z72:AA72"/>
    <mergeCell ref="AB72:AB73"/>
    <mergeCell ref="AC72:AD72"/>
    <mergeCell ref="AE72:AE73"/>
    <mergeCell ref="AF72:AG72"/>
    <mergeCell ref="AH72:AH73"/>
    <mergeCell ref="AI72:AJ72"/>
    <mergeCell ref="Z73:AA73"/>
    <mergeCell ref="AC73:AD73"/>
    <mergeCell ref="AF73:AG73"/>
    <mergeCell ref="AI73:AJ73"/>
    <mergeCell ref="Y74:Y75"/>
    <mergeCell ref="Z74:AA74"/>
    <mergeCell ref="AB74:AB75"/>
    <mergeCell ref="AC74:AD74"/>
    <mergeCell ref="AE74:AE75"/>
    <mergeCell ref="AF74:AG74"/>
    <mergeCell ref="AH74:AH75"/>
    <mergeCell ref="AI74:AJ74"/>
    <mergeCell ref="Z75:AA75"/>
    <mergeCell ref="AC75:AD75"/>
    <mergeCell ref="AF75:AG75"/>
    <mergeCell ref="AI75:AJ75"/>
    <mergeCell ref="Y66:Y67"/>
    <mergeCell ref="Z66:AA66"/>
    <mergeCell ref="AB66:AB67"/>
    <mergeCell ref="AC66:AD66"/>
    <mergeCell ref="AE66:AE67"/>
    <mergeCell ref="AF66:AG66"/>
    <mergeCell ref="AH66:AH67"/>
    <mergeCell ref="AI66:AJ66"/>
    <mergeCell ref="Z67:AA67"/>
    <mergeCell ref="AC67:AD67"/>
    <mergeCell ref="AF67:AG67"/>
    <mergeCell ref="AI67:AJ67"/>
    <mergeCell ref="Y68:Y69"/>
    <mergeCell ref="Z68:AA68"/>
    <mergeCell ref="AB68:AB69"/>
    <mergeCell ref="AC68:AD68"/>
    <mergeCell ref="AE68:AE69"/>
    <mergeCell ref="AF68:AG68"/>
    <mergeCell ref="AH68:AH69"/>
    <mergeCell ref="AI68:AJ68"/>
    <mergeCell ref="Z69:AA69"/>
    <mergeCell ref="AC69:AD69"/>
    <mergeCell ref="AF69:AG69"/>
    <mergeCell ref="AI69:AJ69"/>
    <mergeCell ref="Y60:Y61"/>
    <mergeCell ref="Z60:AA60"/>
    <mergeCell ref="AB60:AB61"/>
    <mergeCell ref="AC60:AD60"/>
    <mergeCell ref="AE60:AE61"/>
    <mergeCell ref="AF60:AG60"/>
    <mergeCell ref="AH60:AH61"/>
    <mergeCell ref="AI60:AJ60"/>
    <mergeCell ref="Z61:AA61"/>
    <mergeCell ref="AC61:AD61"/>
    <mergeCell ref="AF61:AG61"/>
    <mergeCell ref="AI61:AJ61"/>
    <mergeCell ref="Y62:Y63"/>
    <mergeCell ref="Z62:AA62"/>
    <mergeCell ref="AB62:AB63"/>
    <mergeCell ref="AC62:AD62"/>
    <mergeCell ref="AE62:AE63"/>
    <mergeCell ref="AF62:AG62"/>
    <mergeCell ref="AH62:AH63"/>
    <mergeCell ref="AI62:AJ62"/>
    <mergeCell ref="Z63:AA63"/>
    <mergeCell ref="AC63:AD63"/>
    <mergeCell ref="AF63:AG63"/>
    <mergeCell ref="AI63:AJ63"/>
    <mergeCell ref="Y54:Y55"/>
    <mergeCell ref="Z54:AA54"/>
    <mergeCell ref="AB54:AB55"/>
    <mergeCell ref="AC54:AD54"/>
    <mergeCell ref="AE54:AE55"/>
    <mergeCell ref="AF54:AG54"/>
    <mergeCell ref="AH54:AH55"/>
    <mergeCell ref="AI54:AJ54"/>
    <mergeCell ref="Z55:AA55"/>
    <mergeCell ref="AC55:AD55"/>
    <mergeCell ref="AF55:AG55"/>
    <mergeCell ref="AI55:AJ55"/>
    <mergeCell ref="Y56:Y57"/>
    <mergeCell ref="Z56:AA56"/>
    <mergeCell ref="AB56:AB57"/>
    <mergeCell ref="AC56:AD56"/>
    <mergeCell ref="AE56:AE57"/>
    <mergeCell ref="AF56:AG56"/>
    <mergeCell ref="AH56:AH57"/>
    <mergeCell ref="AI56:AJ56"/>
    <mergeCell ref="Z57:AA57"/>
    <mergeCell ref="AC57:AD57"/>
    <mergeCell ref="AF57:AG57"/>
    <mergeCell ref="AI57:AJ57"/>
    <mergeCell ref="Y48:Y49"/>
    <mergeCell ref="Z48:AA48"/>
    <mergeCell ref="AB48:AB49"/>
    <mergeCell ref="AC48:AD48"/>
    <mergeCell ref="AE48:AE49"/>
    <mergeCell ref="AF48:AG48"/>
    <mergeCell ref="AH48:AH49"/>
    <mergeCell ref="AI48:AJ48"/>
    <mergeCell ref="Z49:AA49"/>
    <mergeCell ref="AC49:AD49"/>
    <mergeCell ref="AF49:AG49"/>
    <mergeCell ref="AI49:AJ49"/>
    <mergeCell ref="Y50:Y51"/>
    <mergeCell ref="Z50:AA50"/>
    <mergeCell ref="AB50:AB51"/>
    <mergeCell ref="AC50:AD50"/>
    <mergeCell ref="AE50:AE51"/>
    <mergeCell ref="AF50:AG50"/>
    <mergeCell ref="AH50:AH51"/>
    <mergeCell ref="AI50:AJ50"/>
    <mergeCell ref="Z51:AA51"/>
    <mergeCell ref="AC51:AD51"/>
    <mergeCell ref="AF51:AG51"/>
    <mergeCell ref="AI51:AJ51"/>
    <mergeCell ref="Y42:Y43"/>
    <mergeCell ref="Z42:AA42"/>
    <mergeCell ref="AB42:AB43"/>
    <mergeCell ref="AC42:AD42"/>
    <mergeCell ref="AE42:AE43"/>
    <mergeCell ref="AF42:AG42"/>
    <mergeCell ref="AH42:AH43"/>
    <mergeCell ref="AI42:AJ42"/>
    <mergeCell ref="Z43:AA43"/>
    <mergeCell ref="AC43:AD43"/>
    <mergeCell ref="AF43:AG43"/>
    <mergeCell ref="AI43:AJ43"/>
    <mergeCell ref="Y44:Y45"/>
    <mergeCell ref="Z44:AA44"/>
    <mergeCell ref="AB44:AB45"/>
    <mergeCell ref="AC44:AD44"/>
    <mergeCell ref="AE44:AE45"/>
    <mergeCell ref="AF44:AG44"/>
    <mergeCell ref="AH44:AH45"/>
    <mergeCell ref="AI44:AJ44"/>
    <mergeCell ref="Z45:AA45"/>
    <mergeCell ref="AC45:AD45"/>
    <mergeCell ref="AF45:AG45"/>
    <mergeCell ref="AI45:AJ45"/>
    <mergeCell ref="Y36:Y37"/>
    <mergeCell ref="Z36:AA36"/>
    <mergeCell ref="AB36:AB37"/>
    <mergeCell ref="AC36:AD36"/>
    <mergeCell ref="AE36:AE37"/>
    <mergeCell ref="AF36:AG36"/>
    <mergeCell ref="AH36:AH37"/>
    <mergeCell ref="AI36:AJ36"/>
    <mergeCell ref="Z37:AA37"/>
    <mergeCell ref="AC37:AD37"/>
    <mergeCell ref="AF37:AG37"/>
    <mergeCell ref="AI37:AJ37"/>
    <mergeCell ref="Y38:Y39"/>
    <mergeCell ref="Z38:AA38"/>
    <mergeCell ref="AB38:AB39"/>
    <mergeCell ref="AC38:AD38"/>
    <mergeCell ref="AE38:AE39"/>
    <mergeCell ref="AF38:AG38"/>
    <mergeCell ref="AH38:AH39"/>
    <mergeCell ref="AI38:AJ38"/>
    <mergeCell ref="Z39:AA39"/>
    <mergeCell ref="AC39:AD39"/>
    <mergeCell ref="AF39:AG39"/>
    <mergeCell ref="AI39:AJ39"/>
    <mergeCell ref="Y30:Y31"/>
    <mergeCell ref="Z30:AA30"/>
    <mergeCell ref="AB30:AB31"/>
    <mergeCell ref="AC30:AD30"/>
    <mergeCell ref="AE30:AE31"/>
    <mergeCell ref="AF30:AG30"/>
    <mergeCell ref="AH30:AH31"/>
    <mergeCell ref="AI30:AJ30"/>
    <mergeCell ref="Z31:AA31"/>
    <mergeCell ref="AC31:AD31"/>
    <mergeCell ref="AF31:AG31"/>
    <mergeCell ref="AI31:AJ31"/>
    <mergeCell ref="Y32:Y33"/>
    <mergeCell ref="Z32:AA32"/>
    <mergeCell ref="AB32:AB33"/>
    <mergeCell ref="AC32:AD32"/>
    <mergeCell ref="AE32:AE33"/>
    <mergeCell ref="AF32:AG32"/>
    <mergeCell ref="AH32:AH33"/>
    <mergeCell ref="AI32:AJ32"/>
    <mergeCell ref="Z33:AA33"/>
    <mergeCell ref="AC33:AD33"/>
    <mergeCell ref="AF33:AG33"/>
    <mergeCell ref="AI33:AJ33"/>
    <mergeCell ref="Y24:Y25"/>
    <mergeCell ref="Z24:AA24"/>
    <mergeCell ref="AB24:AB25"/>
    <mergeCell ref="AC24:AD24"/>
    <mergeCell ref="AE24:AE25"/>
    <mergeCell ref="AF24:AG24"/>
    <mergeCell ref="AH24:AH25"/>
    <mergeCell ref="AI24:AJ24"/>
    <mergeCell ref="Z25:AA25"/>
    <mergeCell ref="AC25:AD25"/>
    <mergeCell ref="AF25:AG25"/>
    <mergeCell ref="AI25:AJ25"/>
    <mergeCell ref="Y26:Y27"/>
    <mergeCell ref="Z26:AA26"/>
    <mergeCell ref="AB26:AB27"/>
    <mergeCell ref="AC26:AD26"/>
    <mergeCell ref="AE26:AE27"/>
    <mergeCell ref="AF26:AG26"/>
    <mergeCell ref="AH26:AH27"/>
    <mergeCell ref="AI26:AJ26"/>
    <mergeCell ref="Z27:AA27"/>
    <mergeCell ref="AC27:AD27"/>
    <mergeCell ref="AF27:AG27"/>
    <mergeCell ref="AI27:AJ27"/>
    <mergeCell ref="Y18:Y19"/>
    <mergeCell ref="Z18:AA18"/>
    <mergeCell ref="AB18:AB19"/>
    <mergeCell ref="AC18:AD18"/>
    <mergeCell ref="AE18:AE19"/>
    <mergeCell ref="AF18:AG18"/>
    <mergeCell ref="AH18:AH19"/>
    <mergeCell ref="AI18:AJ18"/>
    <mergeCell ref="Z19:AA19"/>
    <mergeCell ref="AC19:AD19"/>
    <mergeCell ref="AF19:AG19"/>
    <mergeCell ref="AI19:AJ19"/>
    <mergeCell ref="Y20:Y21"/>
    <mergeCell ref="Z20:AA20"/>
    <mergeCell ref="AB20:AB21"/>
    <mergeCell ref="AC20:AD20"/>
    <mergeCell ref="AE20:AE21"/>
    <mergeCell ref="AF20:AG20"/>
    <mergeCell ref="AH20:AH21"/>
    <mergeCell ref="AI20:AJ20"/>
    <mergeCell ref="Z21:AA21"/>
    <mergeCell ref="AC21:AD21"/>
    <mergeCell ref="AF21:AG21"/>
    <mergeCell ref="AI21:AJ21"/>
    <mergeCell ref="Y12:Y13"/>
    <mergeCell ref="Z12:AA12"/>
    <mergeCell ref="AB12:AB13"/>
    <mergeCell ref="AC12:AD12"/>
    <mergeCell ref="AE12:AE13"/>
    <mergeCell ref="AF12:AG12"/>
    <mergeCell ref="AH12:AH13"/>
    <mergeCell ref="AI12:AJ12"/>
    <mergeCell ref="Z13:AA13"/>
    <mergeCell ref="AC13:AD13"/>
    <mergeCell ref="AF13:AG13"/>
    <mergeCell ref="AI13:AJ13"/>
    <mergeCell ref="Y14:Y15"/>
    <mergeCell ref="Z14:AA14"/>
    <mergeCell ref="AB14:AB15"/>
    <mergeCell ref="AC14:AD14"/>
    <mergeCell ref="AE14:AE15"/>
    <mergeCell ref="AF14:AG14"/>
    <mergeCell ref="AH14:AH15"/>
    <mergeCell ref="AI14:AJ14"/>
    <mergeCell ref="Z15:AA15"/>
    <mergeCell ref="AC15:AD15"/>
    <mergeCell ref="AF15:AG15"/>
    <mergeCell ref="AI15:AJ15"/>
    <mergeCell ref="AQ102:AQ103"/>
    <mergeCell ref="AR102:AS102"/>
    <mergeCell ref="AR103:AS103"/>
    <mergeCell ref="AQ104:AQ105"/>
    <mergeCell ref="AR104:AS104"/>
    <mergeCell ref="AR105:AS105"/>
    <mergeCell ref="AQ106:AS106"/>
    <mergeCell ref="AQ107:AS107"/>
    <mergeCell ref="Y6:AA6"/>
    <mergeCell ref="AB6:AD6"/>
    <mergeCell ref="AE6:AG6"/>
    <mergeCell ref="AH6:AJ6"/>
    <mergeCell ref="Z7:AA7"/>
    <mergeCell ref="AC7:AD7"/>
    <mergeCell ref="AF7:AG7"/>
    <mergeCell ref="AI7:AJ7"/>
    <mergeCell ref="Y8:Y9"/>
    <mergeCell ref="Z8:AA8"/>
    <mergeCell ref="AB8:AB9"/>
    <mergeCell ref="AC8:AD8"/>
    <mergeCell ref="AE8:AE9"/>
    <mergeCell ref="AF8:AG8"/>
    <mergeCell ref="AH8:AH9"/>
    <mergeCell ref="AI8:AJ8"/>
    <mergeCell ref="Z9:AA9"/>
    <mergeCell ref="AC9:AD9"/>
    <mergeCell ref="AF9:AG9"/>
    <mergeCell ref="AI9:AJ9"/>
    <mergeCell ref="Y10:Y11"/>
    <mergeCell ref="Z10:AA10"/>
    <mergeCell ref="AB10:AB11"/>
    <mergeCell ref="AC10:AD10"/>
    <mergeCell ref="AQ90:AQ91"/>
    <mergeCell ref="AR90:AS90"/>
    <mergeCell ref="AR91:AS91"/>
    <mergeCell ref="AQ92:AQ93"/>
    <mergeCell ref="AR92:AS92"/>
    <mergeCell ref="AR93:AS93"/>
    <mergeCell ref="AQ94:AQ95"/>
    <mergeCell ref="AR94:AS94"/>
    <mergeCell ref="AR95:AS95"/>
    <mergeCell ref="AQ96:AQ97"/>
    <mergeCell ref="AR96:AS96"/>
    <mergeCell ref="AR97:AS97"/>
    <mergeCell ref="AQ98:AQ99"/>
    <mergeCell ref="AR98:AS98"/>
    <mergeCell ref="AR99:AS99"/>
    <mergeCell ref="AQ100:AQ101"/>
    <mergeCell ref="AR100:AS100"/>
    <mergeCell ref="AR101:AS101"/>
    <mergeCell ref="AQ78:AQ79"/>
    <mergeCell ref="AR78:AS78"/>
    <mergeCell ref="AR79:AS79"/>
    <mergeCell ref="AQ80:AQ81"/>
    <mergeCell ref="AR80:AS80"/>
    <mergeCell ref="AR81:AS81"/>
    <mergeCell ref="AQ82:AQ83"/>
    <mergeCell ref="AR82:AS82"/>
    <mergeCell ref="AR83:AS83"/>
    <mergeCell ref="AQ84:AQ85"/>
    <mergeCell ref="AR84:AS84"/>
    <mergeCell ref="AR85:AS85"/>
    <mergeCell ref="AQ86:AQ87"/>
    <mergeCell ref="AR86:AS86"/>
    <mergeCell ref="AR87:AS87"/>
    <mergeCell ref="AQ88:AQ89"/>
    <mergeCell ref="AR88:AS88"/>
    <mergeCell ref="AR89:AS89"/>
    <mergeCell ref="AQ66:AQ67"/>
    <mergeCell ref="AR66:AS66"/>
    <mergeCell ref="AR67:AS67"/>
    <mergeCell ref="AQ68:AQ69"/>
    <mergeCell ref="AR68:AS68"/>
    <mergeCell ref="AR69:AS69"/>
    <mergeCell ref="AQ70:AQ71"/>
    <mergeCell ref="AR70:AS70"/>
    <mergeCell ref="AR71:AS71"/>
    <mergeCell ref="AQ72:AQ73"/>
    <mergeCell ref="AR72:AS72"/>
    <mergeCell ref="AR73:AS73"/>
    <mergeCell ref="AQ74:AQ75"/>
    <mergeCell ref="AR74:AS74"/>
    <mergeCell ref="AR75:AS75"/>
    <mergeCell ref="AQ76:AQ77"/>
    <mergeCell ref="AR76:AS76"/>
    <mergeCell ref="AR77:AS77"/>
    <mergeCell ref="AQ54:AQ55"/>
    <mergeCell ref="AR54:AS54"/>
    <mergeCell ref="AR55:AS55"/>
    <mergeCell ref="AQ56:AQ57"/>
    <mergeCell ref="AR56:AS56"/>
    <mergeCell ref="AR57:AS57"/>
    <mergeCell ref="AQ58:AQ59"/>
    <mergeCell ref="AR58:AS58"/>
    <mergeCell ref="AR59:AS59"/>
    <mergeCell ref="AQ60:AQ61"/>
    <mergeCell ref="AR60:AS60"/>
    <mergeCell ref="AR61:AS61"/>
    <mergeCell ref="AQ62:AQ63"/>
    <mergeCell ref="AR62:AS62"/>
    <mergeCell ref="AR63:AS63"/>
    <mergeCell ref="AQ64:AQ65"/>
    <mergeCell ref="AR64:AS64"/>
    <mergeCell ref="AR65:AS65"/>
    <mergeCell ref="AQ42:AQ43"/>
    <mergeCell ref="AR42:AS42"/>
    <mergeCell ref="AR43:AS43"/>
    <mergeCell ref="AQ44:AQ45"/>
    <mergeCell ref="AR44:AS44"/>
    <mergeCell ref="AR45:AS45"/>
    <mergeCell ref="AQ46:AQ47"/>
    <mergeCell ref="AR46:AS46"/>
    <mergeCell ref="AR47:AS47"/>
    <mergeCell ref="AQ48:AQ49"/>
    <mergeCell ref="AR48:AS48"/>
    <mergeCell ref="AR49:AS49"/>
    <mergeCell ref="AQ50:AQ51"/>
    <mergeCell ref="AR50:AS50"/>
    <mergeCell ref="AR51:AS51"/>
    <mergeCell ref="AQ52:AQ53"/>
    <mergeCell ref="AR52:AS52"/>
    <mergeCell ref="AR53:AS53"/>
    <mergeCell ref="AQ30:AQ31"/>
    <mergeCell ref="AR30:AS30"/>
    <mergeCell ref="AR31:AS31"/>
    <mergeCell ref="AQ32:AQ33"/>
    <mergeCell ref="AR32:AS32"/>
    <mergeCell ref="AR33:AS33"/>
    <mergeCell ref="AQ34:AQ35"/>
    <mergeCell ref="AR34:AS34"/>
    <mergeCell ref="AR35:AS35"/>
    <mergeCell ref="AQ36:AQ37"/>
    <mergeCell ref="AR36:AS36"/>
    <mergeCell ref="AR37:AS37"/>
    <mergeCell ref="AQ38:AQ39"/>
    <mergeCell ref="AR38:AS38"/>
    <mergeCell ref="AR39:AS39"/>
    <mergeCell ref="AQ40:AQ41"/>
    <mergeCell ref="AR40:AS40"/>
    <mergeCell ref="AR41:AS41"/>
    <mergeCell ref="AQ18:AQ19"/>
    <mergeCell ref="AR18:AS18"/>
    <mergeCell ref="AR19:AS19"/>
    <mergeCell ref="AQ20:AQ21"/>
    <mergeCell ref="AR20:AS20"/>
    <mergeCell ref="AR21:AS21"/>
    <mergeCell ref="AQ22:AQ23"/>
    <mergeCell ref="AR22:AS22"/>
    <mergeCell ref="AR23:AS23"/>
    <mergeCell ref="AQ24:AQ25"/>
    <mergeCell ref="AR24:AS24"/>
    <mergeCell ref="AR25:AS25"/>
    <mergeCell ref="AQ26:AQ27"/>
    <mergeCell ref="AR26:AS26"/>
    <mergeCell ref="AR27:AS27"/>
    <mergeCell ref="AQ28:AQ29"/>
    <mergeCell ref="AR28:AS28"/>
    <mergeCell ref="AR29:AS29"/>
    <mergeCell ref="AQ6:AS6"/>
    <mergeCell ref="AR7:AS7"/>
    <mergeCell ref="AQ8:AQ9"/>
    <mergeCell ref="AR8:AS8"/>
    <mergeCell ref="AR9:AS9"/>
    <mergeCell ref="AQ10:AQ11"/>
    <mergeCell ref="AR10:AS10"/>
    <mergeCell ref="AR11:AS11"/>
    <mergeCell ref="AQ12:AQ13"/>
    <mergeCell ref="AR12:AS12"/>
    <mergeCell ref="AR13:AS13"/>
    <mergeCell ref="AQ14:AQ15"/>
    <mergeCell ref="AR14:AS14"/>
    <mergeCell ref="AR15:AS15"/>
    <mergeCell ref="AQ16:AQ17"/>
    <mergeCell ref="AR16:AS16"/>
    <mergeCell ref="AR17:AS17"/>
    <mergeCell ref="A3:BE3"/>
    <mergeCell ref="A4:BE4"/>
    <mergeCell ref="A5:A7"/>
    <mergeCell ref="B5:C7"/>
    <mergeCell ref="D5:AV5"/>
    <mergeCell ref="AW5:AY5"/>
    <mergeCell ref="AZ5:BE5"/>
    <mergeCell ref="D6:F6"/>
    <mergeCell ref="G6:I6"/>
    <mergeCell ref="J6:L6"/>
    <mergeCell ref="AL7:AM7"/>
    <mergeCell ref="AO7:AP7"/>
    <mergeCell ref="AU7:AV7"/>
    <mergeCell ref="D8:D9"/>
    <mergeCell ref="E8:F8"/>
    <mergeCell ref="G8:G9"/>
    <mergeCell ref="H8:I8"/>
    <mergeCell ref="J8:J9"/>
    <mergeCell ref="K8:L8"/>
    <mergeCell ref="M8:M9"/>
    <mergeCell ref="BB6:BB7"/>
    <mergeCell ref="BC6:BC7"/>
    <mergeCell ref="BE6:BE7"/>
    <mergeCell ref="E7:F7"/>
    <mergeCell ref="H7:I7"/>
    <mergeCell ref="K7:L7"/>
    <mergeCell ref="N7:O7"/>
    <mergeCell ref="Q7:R7"/>
    <mergeCell ref="T7:U7"/>
    <mergeCell ref="W7:X7"/>
    <mergeCell ref="AT6:AV6"/>
    <mergeCell ref="AW6:AW7"/>
    <mergeCell ref="AX6:AX7"/>
    <mergeCell ref="AY6:AY7"/>
    <mergeCell ref="AZ6:AZ7"/>
    <mergeCell ref="BA6:BA7"/>
    <mergeCell ref="M6:O6"/>
    <mergeCell ref="P6:R6"/>
    <mergeCell ref="S6:U6"/>
    <mergeCell ref="V6:X6"/>
    <mergeCell ref="AK6:AM6"/>
    <mergeCell ref="AN6:AP6"/>
    <mergeCell ref="BB8:BB9"/>
    <mergeCell ref="BC8:BC9"/>
    <mergeCell ref="BE8:BE9"/>
    <mergeCell ref="E9:F9"/>
    <mergeCell ref="H9:I9"/>
    <mergeCell ref="K9:L9"/>
    <mergeCell ref="N9:O9"/>
    <mergeCell ref="Q9:R9"/>
    <mergeCell ref="T9:U9"/>
    <mergeCell ref="W9:X9"/>
    <mergeCell ref="AU8:AV8"/>
    <mergeCell ref="AW8:AW9"/>
    <mergeCell ref="AX8:AX9"/>
    <mergeCell ref="AY8:AY9"/>
    <mergeCell ref="AZ8:AZ9"/>
    <mergeCell ref="BA8:BA9"/>
    <mergeCell ref="AU9:AV9"/>
    <mergeCell ref="W8:X8"/>
    <mergeCell ref="AK8:AK9"/>
    <mergeCell ref="AL8:AM8"/>
    <mergeCell ref="AN8:AN9"/>
    <mergeCell ref="AO8:AP8"/>
    <mergeCell ref="AT8:AT9"/>
    <mergeCell ref="AL9:AM9"/>
    <mergeCell ref="AO9:AP9"/>
    <mergeCell ref="N8:O8"/>
    <mergeCell ref="P8:P9"/>
    <mergeCell ref="Q8:R8"/>
    <mergeCell ref="S8:S9"/>
    <mergeCell ref="T8:U8"/>
    <mergeCell ref="V8:V9"/>
    <mergeCell ref="AL10:AM10"/>
    <mergeCell ref="AN10:AN11"/>
    <mergeCell ref="AO10:AP10"/>
    <mergeCell ref="W11:X11"/>
    <mergeCell ref="AL11:AM11"/>
    <mergeCell ref="AO11:AP11"/>
    <mergeCell ref="M10:M11"/>
    <mergeCell ref="N10:O10"/>
    <mergeCell ref="P10:P11"/>
    <mergeCell ref="Q10:R10"/>
    <mergeCell ref="S10:S11"/>
    <mergeCell ref="T10:U10"/>
    <mergeCell ref="AE10:AE11"/>
    <mergeCell ref="AF10:AG10"/>
    <mergeCell ref="AH10:AH11"/>
    <mergeCell ref="AI10:AJ10"/>
    <mergeCell ref="Z11:AA11"/>
    <mergeCell ref="AC11:AD11"/>
    <mergeCell ref="AF11:AG11"/>
    <mergeCell ref="AI11:AJ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BA10:BA11"/>
    <mergeCell ref="BB10:BB11"/>
    <mergeCell ref="BC10:BC11"/>
    <mergeCell ref="BE10:BE11"/>
    <mergeCell ref="E11:F11"/>
    <mergeCell ref="H11:I11"/>
    <mergeCell ref="K11:L11"/>
    <mergeCell ref="N11:O11"/>
    <mergeCell ref="Q11:R11"/>
    <mergeCell ref="T11:U11"/>
    <mergeCell ref="AT10:AT11"/>
    <mergeCell ref="AU10:AV10"/>
    <mergeCell ref="AW10:AW11"/>
    <mergeCell ref="AX10:AX11"/>
    <mergeCell ref="AY10:AY11"/>
    <mergeCell ref="AZ10:AZ11"/>
    <mergeCell ref="AU11:AV11"/>
    <mergeCell ref="V10:V11"/>
    <mergeCell ref="W10:X10"/>
    <mergeCell ref="AK10:AK11"/>
    <mergeCell ref="D14:D15"/>
    <mergeCell ref="E14:F14"/>
    <mergeCell ref="G14:G15"/>
    <mergeCell ref="H14:I14"/>
    <mergeCell ref="J14:J15"/>
    <mergeCell ref="K14:L14"/>
    <mergeCell ref="BA12:BA13"/>
    <mergeCell ref="BB12:BB13"/>
    <mergeCell ref="BC12:BC13"/>
    <mergeCell ref="BE12:BE13"/>
    <mergeCell ref="E13:F13"/>
    <mergeCell ref="H13:I13"/>
    <mergeCell ref="K13:L13"/>
    <mergeCell ref="N13:O13"/>
    <mergeCell ref="Q13:R13"/>
    <mergeCell ref="T13:U13"/>
    <mergeCell ref="AT12:AT13"/>
    <mergeCell ref="AU12:AV12"/>
    <mergeCell ref="AW12:AW13"/>
    <mergeCell ref="AX12:AX13"/>
    <mergeCell ref="AY12:AY13"/>
    <mergeCell ref="AZ12:AZ13"/>
    <mergeCell ref="AU13:AV13"/>
    <mergeCell ref="V12:V13"/>
    <mergeCell ref="W12:X12"/>
    <mergeCell ref="AK12:AK13"/>
    <mergeCell ref="AL12:AM12"/>
    <mergeCell ref="AN12:AN13"/>
    <mergeCell ref="AO12:AP12"/>
    <mergeCell ref="W13:X13"/>
    <mergeCell ref="AL13:AM13"/>
    <mergeCell ref="AO13:AP13"/>
    <mergeCell ref="BA14:BA15"/>
    <mergeCell ref="BB14:BB15"/>
    <mergeCell ref="BC14:BC15"/>
    <mergeCell ref="BE14:BE15"/>
    <mergeCell ref="E15:F15"/>
    <mergeCell ref="H15:I15"/>
    <mergeCell ref="K15:L15"/>
    <mergeCell ref="N15:O15"/>
    <mergeCell ref="Q15:R15"/>
    <mergeCell ref="T15:U15"/>
    <mergeCell ref="AT14:AT15"/>
    <mergeCell ref="AU14:AV14"/>
    <mergeCell ref="AW14:AW15"/>
    <mergeCell ref="AX14:AX15"/>
    <mergeCell ref="AY14:AY15"/>
    <mergeCell ref="AZ14:AZ15"/>
    <mergeCell ref="AU15:AV15"/>
    <mergeCell ref="V14:V15"/>
    <mergeCell ref="W14:X14"/>
    <mergeCell ref="AK14:AK15"/>
    <mergeCell ref="AL14:AM14"/>
    <mergeCell ref="AN14:AN15"/>
    <mergeCell ref="AO14:AP14"/>
    <mergeCell ref="W15:X15"/>
    <mergeCell ref="AL15:AM15"/>
    <mergeCell ref="AO15:AP15"/>
    <mergeCell ref="M14:M15"/>
    <mergeCell ref="N14:O14"/>
    <mergeCell ref="P14:P15"/>
    <mergeCell ref="Q14:R14"/>
    <mergeCell ref="S14:S15"/>
    <mergeCell ref="T14:U14"/>
    <mergeCell ref="AL16:AM16"/>
    <mergeCell ref="AN16:AN17"/>
    <mergeCell ref="AO16:AP16"/>
    <mergeCell ref="W17:X17"/>
    <mergeCell ref="AL17:AM17"/>
    <mergeCell ref="AO17:AP17"/>
    <mergeCell ref="M16:M17"/>
    <mergeCell ref="N16:O16"/>
    <mergeCell ref="P16:P17"/>
    <mergeCell ref="Q16:R16"/>
    <mergeCell ref="S16:S17"/>
    <mergeCell ref="T16:U16"/>
    <mergeCell ref="D16:D17"/>
    <mergeCell ref="E16:F16"/>
    <mergeCell ref="G16:G17"/>
    <mergeCell ref="H16:I16"/>
    <mergeCell ref="J16:J17"/>
    <mergeCell ref="K16:L16"/>
    <mergeCell ref="Y16:Y17"/>
    <mergeCell ref="Z16:AA16"/>
    <mergeCell ref="AB16:AB17"/>
    <mergeCell ref="AC16:AD16"/>
    <mergeCell ref="AE16:AE17"/>
    <mergeCell ref="AF16:AG16"/>
    <mergeCell ref="AH16:AH17"/>
    <mergeCell ref="AI16:AJ16"/>
    <mergeCell ref="Z17:AA17"/>
    <mergeCell ref="AC17:AD17"/>
    <mergeCell ref="AF17:AG17"/>
    <mergeCell ref="AI17:AJ17"/>
    <mergeCell ref="M18:M19"/>
    <mergeCell ref="N18:O18"/>
    <mergeCell ref="P18:P19"/>
    <mergeCell ref="Q18:R18"/>
    <mergeCell ref="S18:S19"/>
    <mergeCell ref="T18:U18"/>
    <mergeCell ref="D18:D19"/>
    <mergeCell ref="E18:F18"/>
    <mergeCell ref="G18:G19"/>
    <mergeCell ref="H18:I18"/>
    <mergeCell ref="J18:J19"/>
    <mergeCell ref="K18:L18"/>
    <mergeCell ref="BA16:BA17"/>
    <mergeCell ref="BB16:BB17"/>
    <mergeCell ref="BC16:BC17"/>
    <mergeCell ref="BE16:BE17"/>
    <mergeCell ref="E17:F17"/>
    <mergeCell ref="H17:I17"/>
    <mergeCell ref="K17:L17"/>
    <mergeCell ref="N17:O17"/>
    <mergeCell ref="Q17:R17"/>
    <mergeCell ref="T17:U17"/>
    <mergeCell ref="AT16:AT17"/>
    <mergeCell ref="AU16:AV16"/>
    <mergeCell ref="AW16:AW17"/>
    <mergeCell ref="AX16:AX17"/>
    <mergeCell ref="AY16:AY17"/>
    <mergeCell ref="AZ16:AZ17"/>
    <mergeCell ref="AU17:AV17"/>
    <mergeCell ref="V16:V17"/>
    <mergeCell ref="W16:X16"/>
    <mergeCell ref="AK16:AK17"/>
    <mergeCell ref="D20:D21"/>
    <mergeCell ref="E20:F20"/>
    <mergeCell ref="G20:G21"/>
    <mergeCell ref="H20:I20"/>
    <mergeCell ref="J20:J21"/>
    <mergeCell ref="K20:L20"/>
    <mergeCell ref="BA18:BA19"/>
    <mergeCell ref="BB18:BB19"/>
    <mergeCell ref="BC18:BC19"/>
    <mergeCell ref="BE18:BE19"/>
    <mergeCell ref="E19:F19"/>
    <mergeCell ref="H19:I19"/>
    <mergeCell ref="K19:L19"/>
    <mergeCell ref="N19:O19"/>
    <mergeCell ref="Q19:R19"/>
    <mergeCell ref="T19:U19"/>
    <mergeCell ref="AT18:AT19"/>
    <mergeCell ref="AU18:AV18"/>
    <mergeCell ref="AW18:AW19"/>
    <mergeCell ref="AX18:AX19"/>
    <mergeCell ref="AY18:AY19"/>
    <mergeCell ref="AZ18:AZ19"/>
    <mergeCell ref="AU19:AV19"/>
    <mergeCell ref="V18:V19"/>
    <mergeCell ref="W18:X18"/>
    <mergeCell ref="AK18:AK19"/>
    <mergeCell ref="AL18:AM18"/>
    <mergeCell ref="AN18:AN19"/>
    <mergeCell ref="AO18:AP18"/>
    <mergeCell ref="W19:X19"/>
    <mergeCell ref="AL19:AM19"/>
    <mergeCell ref="AO19:AP19"/>
    <mergeCell ref="BA20:BA21"/>
    <mergeCell ref="BB20:BB21"/>
    <mergeCell ref="BC20:BC21"/>
    <mergeCell ref="BE20:BE21"/>
    <mergeCell ref="E21:F21"/>
    <mergeCell ref="H21:I21"/>
    <mergeCell ref="K21:L21"/>
    <mergeCell ref="N21:O21"/>
    <mergeCell ref="Q21:R21"/>
    <mergeCell ref="T21:U21"/>
    <mergeCell ref="AT20:AT21"/>
    <mergeCell ref="AU20:AV20"/>
    <mergeCell ref="AW20:AW21"/>
    <mergeCell ref="AX20:AX21"/>
    <mergeCell ref="AY20:AY21"/>
    <mergeCell ref="AZ20:AZ21"/>
    <mergeCell ref="AU21:AV21"/>
    <mergeCell ref="V20:V21"/>
    <mergeCell ref="W20:X20"/>
    <mergeCell ref="AK20:AK21"/>
    <mergeCell ref="AL20:AM20"/>
    <mergeCell ref="AN20:AN21"/>
    <mergeCell ref="AO20:AP20"/>
    <mergeCell ref="W21:X21"/>
    <mergeCell ref="AL21:AM21"/>
    <mergeCell ref="AO21:AP21"/>
    <mergeCell ref="M20:M21"/>
    <mergeCell ref="N20:O20"/>
    <mergeCell ref="P20:P21"/>
    <mergeCell ref="Q20:R20"/>
    <mergeCell ref="S20:S21"/>
    <mergeCell ref="T20:U20"/>
    <mergeCell ref="AL22:AM22"/>
    <mergeCell ref="AN22:AN23"/>
    <mergeCell ref="AO22:AP22"/>
    <mergeCell ref="W23:X23"/>
    <mergeCell ref="AL23:AM23"/>
    <mergeCell ref="AO23:AP23"/>
    <mergeCell ref="M22:M23"/>
    <mergeCell ref="N22:O22"/>
    <mergeCell ref="P22:P23"/>
    <mergeCell ref="Q22:R22"/>
    <mergeCell ref="S22:S23"/>
    <mergeCell ref="T22:U22"/>
    <mergeCell ref="D22:D23"/>
    <mergeCell ref="E22:F22"/>
    <mergeCell ref="G22:G23"/>
    <mergeCell ref="H22:I22"/>
    <mergeCell ref="J22:J23"/>
    <mergeCell ref="K22:L22"/>
    <mergeCell ref="Y22:Y23"/>
    <mergeCell ref="Z22:AA22"/>
    <mergeCell ref="AB22:AB23"/>
    <mergeCell ref="AC22:AD22"/>
    <mergeCell ref="AE22:AE23"/>
    <mergeCell ref="AF22:AG22"/>
    <mergeCell ref="AH22:AH23"/>
    <mergeCell ref="AI22:AJ22"/>
    <mergeCell ref="Z23:AA23"/>
    <mergeCell ref="AC23:AD23"/>
    <mergeCell ref="AF23:AG23"/>
    <mergeCell ref="AI23:AJ23"/>
    <mergeCell ref="M24:M25"/>
    <mergeCell ref="N24:O24"/>
    <mergeCell ref="P24:P25"/>
    <mergeCell ref="Q24:R24"/>
    <mergeCell ref="S24:S25"/>
    <mergeCell ref="T24:U24"/>
    <mergeCell ref="D24:D25"/>
    <mergeCell ref="E24:F24"/>
    <mergeCell ref="G24:G25"/>
    <mergeCell ref="H24:I24"/>
    <mergeCell ref="J24:J25"/>
    <mergeCell ref="K24:L24"/>
    <mergeCell ref="BA22:BA23"/>
    <mergeCell ref="BB22:BB23"/>
    <mergeCell ref="BC22:BC23"/>
    <mergeCell ref="BE22:BE23"/>
    <mergeCell ref="E23:F23"/>
    <mergeCell ref="H23:I23"/>
    <mergeCell ref="K23:L23"/>
    <mergeCell ref="N23:O23"/>
    <mergeCell ref="Q23:R23"/>
    <mergeCell ref="T23:U23"/>
    <mergeCell ref="AT22:AT23"/>
    <mergeCell ref="AU22:AV22"/>
    <mergeCell ref="AW22:AW23"/>
    <mergeCell ref="AX22:AX23"/>
    <mergeCell ref="AY22:AY23"/>
    <mergeCell ref="AZ22:AZ23"/>
    <mergeCell ref="AU23:AV23"/>
    <mergeCell ref="V22:V23"/>
    <mergeCell ref="W22:X22"/>
    <mergeCell ref="AK22:AK23"/>
    <mergeCell ref="D26:D27"/>
    <mergeCell ref="E26:F26"/>
    <mergeCell ref="G26:G27"/>
    <mergeCell ref="H26:I26"/>
    <mergeCell ref="J26:J27"/>
    <mergeCell ref="K26:L26"/>
    <mergeCell ref="BA24:BA25"/>
    <mergeCell ref="BB24:BB25"/>
    <mergeCell ref="BC24:BC25"/>
    <mergeCell ref="BE24:BE25"/>
    <mergeCell ref="E25:F25"/>
    <mergeCell ref="H25:I25"/>
    <mergeCell ref="K25:L25"/>
    <mergeCell ref="N25:O25"/>
    <mergeCell ref="Q25:R25"/>
    <mergeCell ref="T25:U25"/>
    <mergeCell ref="AT24:AT25"/>
    <mergeCell ref="AU24:AV24"/>
    <mergeCell ref="AW24:AW25"/>
    <mergeCell ref="AX24:AX25"/>
    <mergeCell ref="AY24:AY25"/>
    <mergeCell ref="AZ24:AZ25"/>
    <mergeCell ref="AU25:AV25"/>
    <mergeCell ref="V24:V25"/>
    <mergeCell ref="W24:X24"/>
    <mergeCell ref="AK24:AK25"/>
    <mergeCell ref="AL24:AM24"/>
    <mergeCell ref="AN24:AN25"/>
    <mergeCell ref="AO24:AP24"/>
    <mergeCell ref="W25:X25"/>
    <mergeCell ref="AL25:AM25"/>
    <mergeCell ref="AO25:AP25"/>
    <mergeCell ref="BA26:BA27"/>
    <mergeCell ref="BB26:BB27"/>
    <mergeCell ref="BC26:BC27"/>
    <mergeCell ref="BE26:BE27"/>
    <mergeCell ref="E27:F27"/>
    <mergeCell ref="H27:I27"/>
    <mergeCell ref="K27:L27"/>
    <mergeCell ref="N27:O27"/>
    <mergeCell ref="Q27:R27"/>
    <mergeCell ref="T27:U27"/>
    <mergeCell ref="AT26:AT27"/>
    <mergeCell ref="AU26:AV26"/>
    <mergeCell ref="AW26:AW27"/>
    <mergeCell ref="AX26:AX27"/>
    <mergeCell ref="AY26:AY27"/>
    <mergeCell ref="AZ26:AZ27"/>
    <mergeCell ref="AU27:AV27"/>
    <mergeCell ref="V26:V27"/>
    <mergeCell ref="W26:X26"/>
    <mergeCell ref="AK26:AK27"/>
    <mergeCell ref="AL26:AM26"/>
    <mergeCell ref="AN26:AN27"/>
    <mergeCell ref="AO26:AP26"/>
    <mergeCell ref="W27:X27"/>
    <mergeCell ref="AL27:AM27"/>
    <mergeCell ref="AO27:AP27"/>
    <mergeCell ref="M26:M27"/>
    <mergeCell ref="N26:O26"/>
    <mergeCell ref="P26:P27"/>
    <mergeCell ref="Q26:R26"/>
    <mergeCell ref="S26:S27"/>
    <mergeCell ref="T26:U26"/>
    <mergeCell ref="AL28:AM28"/>
    <mergeCell ref="AN28:AN29"/>
    <mergeCell ref="AO28:AP28"/>
    <mergeCell ref="W29:X29"/>
    <mergeCell ref="AL29:AM29"/>
    <mergeCell ref="AO29:AP29"/>
    <mergeCell ref="M28:M29"/>
    <mergeCell ref="N28:O28"/>
    <mergeCell ref="P28:P29"/>
    <mergeCell ref="Q28:R28"/>
    <mergeCell ref="S28:S29"/>
    <mergeCell ref="T28:U28"/>
    <mergeCell ref="D28:D29"/>
    <mergeCell ref="E28:F28"/>
    <mergeCell ref="G28:G29"/>
    <mergeCell ref="H28:I28"/>
    <mergeCell ref="J28:J29"/>
    <mergeCell ref="K28:L28"/>
    <mergeCell ref="Y28:Y29"/>
    <mergeCell ref="Z28:AA28"/>
    <mergeCell ref="AB28:AB29"/>
    <mergeCell ref="AC28:AD28"/>
    <mergeCell ref="AE28:AE29"/>
    <mergeCell ref="AF28:AG28"/>
    <mergeCell ref="AH28:AH29"/>
    <mergeCell ref="AI28:AJ28"/>
    <mergeCell ref="Z29:AA29"/>
    <mergeCell ref="AC29:AD29"/>
    <mergeCell ref="AF29:AG29"/>
    <mergeCell ref="AI29:AJ29"/>
    <mergeCell ref="M30:M31"/>
    <mergeCell ref="N30:O30"/>
    <mergeCell ref="P30:P31"/>
    <mergeCell ref="Q30:R30"/>
    <mergeCell ref="S30:S31"/>
    <mergeCell ref="T30:U30"/>
    <mergeCell ref="D30:D31"/>
    <mergeCell ref="E30:F30"/>
    <mergeCell ref="G30:G31"/>
    <mergeCell ref="H30:I30"/>
    <mergeCell ref="J30:J31"/>
    <mergeCell ref="K30:L30"/>
    <mergeCell ref="BA28:BA29"/>
    <mergeCell ref="BB28:BB29"/>
    <mergeCell ref="BC28:BC29"/>
    <mergeCell ref="BE28:BE29"/>
    <mergeCell ref="E29:F29"/>
    <mergeCell ref="H29:I29"/>
    <mergeCell ref="K29:L29"/>
    <mergeCell ref="N29:O29"/>
    <mergeCell ref="Q29:R29"/>
    <mergeCell ref="T29:U29"/>
    <mergeCell ref="AT28:AT29"/>
    <mergeCell ref="AU28:AV28"/>
    <mergeCell ref="AW28:AW29"/>
    <mergeCell ref="AX28:AX29"/>
    <mergeCell ref="AY28:AY29"/>
    <mergeCell ref="AZ28:AZ29"/>
    <mergeCell ref="AU29:AV29"/>
    <mergeCell ref="V28:V29"/>
    <mergeCell ref="W28:X28"/>
    <mergeCell ref="AK28:AK29"/>
    <mergeCell ref="D32:D33"/>
    <mergeCell ref="E32:F32"/>
    <mergeCell ref="G32:G33"/>
    <mergeCell ref="H32:I32"/>
    <mergeCell ref="J32:J33"/>
    <mergeCell ref="K32:L32"/>
    <mergeCell ref="BA30:BA31"/>
    <mergeCell ref="BB30:BB31"/>
    <mergeCell ref="BC30:BC31"/>
    <mergeCell ref="BE30:BE31"/>
    <mergeCell ref="E31:F31"/>
    <mergeCell ref="H31:I31"/>
    <mergeCell ref="K31:L31"/>
    <mergeCell ref="N31:O31"/>
    <mergeCell ref="Q31:R31"/>
    <mergeCell ref="T31:U31"/>
    <mergeCell ref="AT30:AT31"/>
    <mergeCell ref="AU30:AV30"/>
    <mergeCell ref="AW30:AW31"/>
    <mergeCell ref="AX30:AX31"/>
    <mergeCell ref="AY30:AY31"/>
    <mergeCell ref="AZ30:AZ31"/>
    <mergeCell ref="AU31:AV31"/>
    <mergeCell ref="V30:V31"/>
    <mergeCell ref="W30:X30"/>
    <mergeCell ref="AK30:AK31"/>
    <mergeCell ref="AL30:AM30"/>
    <mergeCell ref="AN30:AN31"/>
    <mergeCell ref="AO30:AP30"/>
    <mergeCell ref="W31:X31"/>
    <mergeCell ref="AL31:AM31"/>
    <mergeCell ref="AO31:AP31"/>
    <mergeCell ref="BA32:BA33"/>
    <mergeCell ref="BB32:BB33"/>
    <mergeCell ref="BC32:BC33"/>
    <mergeCell ref="BE32:BE33"/>
    <mergeCell ref="E33:F33"/>
    <mergeCell ref="H33:I33"/>
    <mergeCell ref="K33:L33"/>
    <mergeCell ref="N33:O33"/>
    <mergeCell ref="Q33:R33"/>
    <mergeCell ref="T33:U33"/>
    <mergeCell ref="AT32:AT33"/>
    <mergeCell ref="AU32:AV32"/>
    <mergeCell ref="AW32:AW33"/>
    <mergeCell ref="AX32:AX33"/>
    <mergeCell ref="AY32:AY33"/>
    <mergeCell ref="AZ32:AZ33"/>
    <mergeCell ref="AU33:AV33"/>
    <mergeCell ref="V32:V33"/>
    <mergeCell ref="W32:X32"/>
    <mergeCell ref="AK32:AK33"/>
    <mergeCell ref="AL32:AM32"/>
    <mergeCell ref="AN32:AN33"/>
    <mergeCell ref="AO32:AP32"/>
    <mergeCell ref="W33:X33"/>
    <mergeCell ref="AL33:AM33"/>
    <mergeCell ref="AO33:AP33"/>
    <mergeCell ref="M32:M33"/>
    <mergeCell ref="N32:O32"/>
    <mergeCell ref="P32:P33"/>
    <mergeCell ref="Q32:R32"/>
    <mergeCell ref="S32:S33"/>
    <mergeCell ref="T32:U32"/>
    <mergeCell ref="AL34:AM34"/>
    <mergeCell ref="AN34:AN35"/>
    <mergeCell ref="AO34:AP34"/>
    <mergeCell ref="W35:X35"/>
    <mergeCell ref="AL35:AM35"/>
    <mergeCell ref="AO35:AP35"/>
    <mergeCell ref="M34:M35"/>
    <mergeCell ref="N34:O34"/>
    <mergeCell ref="P34:P35"/>
    <mergeCell ref="Q34:R34"/>
    <mergeCell ref="S34:S35"/>
    <mergeCell ref="T34:U34"/>
    <mergeCell ref="D34:D35"/>
    <mergeCell ref="E34:F34"/>
    <mergeCell ref="G34:G35"/>
    <mergeCell ref="H34:I34"/>
    <mergeCell ref="J34:J35"/>
    <mergeCell ref="K34:L34"/>
    <mergeCell ref="Y34:Y35"/>
    <mergeCell ref="Z34:AA34"/>
    <mergeCell ref="AB34:AB35"/>
    <mergeCell ref="AC34:AD34"/>
    <mergeCell ref="AE34:AE35"/>
    <mergeCell ref="AF34:AG34"/>
    <mergeCell ref="AH34:AH35"/>
    <mergeCell ref="AI34:AJ34"/>
    <mergeCell ref="Z35:AA35"/>
    <mergeCell ref="AC35:AD35"/>
    <mergeCell ref="AF35:AG35"/>
    <mergeCell ref="AI35:AJ35"/>
    <mergeCell ref="M36:M37"/>
    <mergeCell ref="N36:O36"/>
    <mergeCell ref="P36:P37"/>
    <mergeCell ref="Q36:R36"/>
    <mergeCell ref="S36:S37"/>
    <mergeCell ref="T36:U36"/>
    <mergeCell ref="D36:D37"/>
    <mergeCell ref="E36:F36"/>
    <mergeCell ref="G36:G37"/>
    <mergeCell ref="H36:I36"/>
    <mergeCell ref="J36:J37"/>
    <mergeCell ref="K36:L36"/>
    <mergeCell ref="BA34:BA35"/>
    <mergeCell ref="BB34:BB35"/>
    <mergeCell ref="BC34:BC35"/>
    <mergeCell ref="BE34:BE35"/>
    <mergeCell ref="E35:F35"/>
    <mergeCell ref="H35:I35"/>
    <mergeCell ref="K35:L35"/>
    <mergeCell ref="N35:O35"/>
    <mergeCell ref="Q35:R35"/>
    <mergeCell ref="T35:U35"/>
    <mergeCell ref="AT34:AT35"/>
    <mergeCell ref="AU34:AV34"/>
    <mergeCell ref="AW34:AW35"/>
    <mergeCell ref="AX34:AX35"/>
    <mergeCell ref="AY34:AY35"/>
    <mergeCell ref="AZ34:AZ35"/>
    <mergeCell ref="AU35:AV35"/>
    <mergeCell ref="V34:V35"/>
    <mergeCell ref="W34:X34"/>
    <mergeCell ref="AK34:AK35"/>
    <mergeCell ref="D38:D39"/>
    <mergeCell ref="E38:F38"/>
    <mergeCell ref="G38:G39"/>
    <mergeCell ref="H38:I38"/>
    <mergeCell ref="J38:J39"/>
    <mergeCell ref="K38:L38"/>
    <mergeCell ref="BA36:BA37"/>
    <mergeCell ref="BB36:BB37"/>
    <mergeCell ref="BC36:BC37"/>
    <mergeCell ref="BE36:BE37"/>
    <mergeCell ref="E37:F37"/>
    <mergeCell ref="H37:I37"/>
    <mergeCell ref="K37:L37"/>
    <mergeCell ref="N37:O37"/>
    <mergeCell ref="Q37:R37"/>
    <mergeCell ref="T37:U37"/>
    <mergeCell ref="AT36:AT37"/>
    <mergeCell ref="AU36:AV36"/>
    <mergeCell ref="AW36:AW37"/>
    <mergeCell ref="AX36:AX37"/>
    <mergeCell ref="AY36:AY37"/>
    <mergeCell ref="AZ36:AZ37"/>
    <mergeCell ref="AU37:AV37"/>
    <mergeCell ref="V36:V37"/>
    <mergeCell ref="W36:X36"/>
    <mergeCell ref="AK36:AK37"/>
    <mergeCell ref="AL36:AM36"/>
    <mergeCell ref="AN36:AN37"/>
    <mergeCell ref="AO36:AP36"/>
    <mergeCell ref="W37:X37"/>
    <mergeCell ref="AL37:AM37"/>
    <mergeCell ref="AO37:AP37"/>
    <mergeCell ref="BA38:BA39"/>
    <mergeCell ref="BB38:BB39"/>
    <mergeCell ref="BC38:BC39"/>
    <mergeCell ref="BE38:BE39"/>
    <mergeCell ref="E39:F39"/>
    <mergeCell ref="H39:I39"/>
    <mergeCell ref="K39:L39"/>
    <mergeCell ref="N39:O39"/>
    <mergeCell ref="Q39:R39"/>
    <mergeCell ref="T39:U39"/>
    <mergeCell ref="AT38:AT39"/>
    <mergeCell ref="AU38:AV38"/>
    <mergeCell ref="AW38:AW39"/>
    <mergeCell ref="AX38:AX39"/>
    <mergeCell ref="AY38:AY39"/>
    <mergeCell ref="AZ38:AZ39"/>
    <mergeCell ref="AU39:AV39"/>
    <mergeCell ref="V38:V39"/>
    <mergeCell ref="W38:X38"/>
    <mergeCell ref="AK38:AK39"/>
    <mergeCell ref="AL38:AM38"/>
    <mergeCell ref="AN38:AN39"/>
    <mergeCell ref="AO38:AP38"/>
    <mergeCell ref="W39:X39"/>
    <mergeCell ref="AL39:AM39"/>
    <mergeCell ref="AO39:AP39"/>
    <mergeCell ref="M38:M39"/>
    <mergeCell ref="N38:O38"/>
    <mergeCell ref="P38:P39"/>
    <mergeCell ref="Q38:R38"/>
    <mergeCell ref="S38:S39"/>
    <mergeCell ref="T38:U38"/>
    <mergeCell ref="AL40:AM40"/>
    <mergeCell ref="AN40:AN41"/>
    <mergeCell ref="AO40:AP40"/>
    <mergeCell ref="W41:X41"/>
    <mergeCell ref="AL41:AM41"/>
    <mergeCell ref="AO41:AP41"/>
    <mergeCell ref="M40:M41"/>
    <mergeCell ref="N40:O40"/>
    <mergeCell ref="P40:P41"/>
    <mergeCell ref="Q40:R40"/>
    <mergeCell ref="S40:S41"/>
    <mergeCell ref="T40:U40"/>
    <mergeCell ref="D40:D41"/>
    <mergeCell ref="E40:F40"/>
    <mergeCell ref="G40:G41"/>
    <mergeCell ref="H40:I40"/>
    <mergeCell ref="J40:J41"/>
    <mergeCell ref="K40:L40"/>
    <mergeCell ref="Y40:Y41"/>
    <mergeCell ref="Z40:AA40"/>
    <mergeCell ref="AB40:AB41"/>
    <mergeCell ref="AC40:AD40"/>
    <mergeCell ref="AE40:AE41"/>
    <mergeCell ref="AF40:AG40"/>
    <mergeCell ref="AH40:AH41"/>
    <mergeCell ref="AI40:AJ40"/>
    <mergeCell ref="Z41:AA41"/>
    <mergeCell ref="AC41:AD41"/>
    <mergeCell ref="AF41:AG41"/>
    <mergeCell ref="AI41:AJ41"/>
    <mergeCell ref="M42:M43"/>
    <mergeCell ref="N42:O42"/>
    <mergeCell ref="P42:P43"/>
    <mergeCell ref="Q42:R42"/>
    <mergeCell ref="S42:S43"/>
    <mergeCell ref="T42:U42"/>
    <mergeCell ref="D42:D43"/>
    <mergeCell ref="E42:F42"/>
    <mergeCell ref="G42:G43"/>
    <mergeCell ref="H42:I42"/>
    <mergeCell ref="J42:J43"/>
    <mergeCell ref="K42:L42"/>
    <mergeCell ref="BA40:BA41"/>
    <mergeCell ref="BB40:BB41"/>
    <mergeCell ref="BC40:BC41"/>
    <mergeCell ref="BE40:BE41"/>
    <mergeCell ref="E41:F41"/>
    <mergeCell ref="H41:I41"/>
    <mergeCell ref="K41:L41"/>
    <mergeCell ref="N41:O41"/>
    <mergeCell ref="Q41:R41"/>
    <mergeCell ref="T41:U41"/>
    <mergeCell ref="AT40:AT41"/>
    <mergeCell ref="AU40:AV40"/>
    <mergeCell ref="AW40:AW41"/>
    <mergeCell ref="AX40:AX41"/>
    <mergeCell ref="AY40:AY41"/>
    <mergeCell ref="AZ40:AZ41"/>
    <mergeCell ref="AU41:AV41"/>
    <mergeCell ref="V40:V41"/>
    <mergeCell ref="W40:X40"/>
    <mergeCell ref="AK40:AK41"/>
    <mergeCell ref="D44:D45"/>
    <mergeCell ref="E44:F44"/>
    <mergeCell ref="G44:G45"/>
    <mergeCell ref="H44:I44"/>
    <mergeCell ref="J44:J45"/>
    <mergeCell ref="K44:L44"/>
    <mergeCell ref="BA42:BA43"/>
    <mergeCell ref="BB42:BB43"/>
    <mergeCell ref="BC42:BC43"/>
    <mergeCell ref="BE42:BE43"/>
    <mergeCell ref="E43:F43"/>
    <mergeCell ref="H43:I43"/>
    <mergeCell ref="K43:L43"/>
    <mergeCell ref="N43:O43"/>
    <mergeCell ref="Q43:R43"/>
    <mergeCell ref="T43:U43"/>
    <mergeCell ref="AT42:AT43"/>
    <mergeCell ref="AU42:AV42"/>
    <mergeCell ref="AW42:AW43"/>
    <mergeCell ref="AX42:AX43"/>
    <mergeCell ref="AY42:AY43"/>
    <mergeCell ref="AZ42:AZ43"/>
    <mergeCell ref="AU43:AV43"/>
    <mergeCell ref="V42:V43"/>
    <mergeCell ref="W42:X42"/>
    <mergeCell ref="AK42:AK43"/>
    <mergeCell ref="AL42:AM42"/>
    <mergeCell ref="AN42:AN43"/>
    <mergeCell ref="AO42:AP42"/>
    <mergeCell ref="W43:X43"/>
    <mergeCell ref="AL43:AM43"/>
    <mergeCell ref="AO43:AP43"/>
    <mergeCell ref="BA44:BA45"/>
    <mergeCell ref="BB44:BB45"/>
    <mergeCell ref="BC44:BC45"/>
    <mergeCell ref="BE44:BE45"/>
    <mergeCell ref="E45:F45"/>
    <mergeCell ref="H45:I45"/>
    <mergeCell ref="K45:L45"/>
    <mergeCell ref="N45:O45"/>
    <mergeCell ref="Q45:R45"/>
    <mergeCell ref="T45:U45"/>
    <mergeCell ref="AT44:AT45"/>
    <mergeCell ref="AU44:AV44"/>
    <mergeCell ref="AW44:AW45"/>
    <mergeCell ref="AX44:AX45"/>
    <mergeCell ref="AY44:AY45"/>
    <mergeCell ref="AZ44:AZ45"/>
    <mergeCell ref="AU45:AV45"/>
    <mergeCell ref="V44:V45"/>
    <mergeCell ref="W44:X44"/>
    <mergeCell ref="AK44:AK45"/>
    <mergeCell ref="AL44:AM44"/>
    <mergeCell ref="AN44:AN45"/>
    <mergeCell ref="AO44:AP44"/>
    <mergeCell ref="W45:X45"/>
    <mergeCell ref="AL45:AM45"/>
    <mergeCell ref="AO45:AP45"/>
    <mergeCell ref="M44:M45"/>
    <mergeCell ref="N44:O44"/>
    <mergeCell ref="P44:P45"/>
    <mergeCell ref="Q44:R44"/>
    <mergeCell ref="S44:S45"/>
    <mergeCell ref="T44:U44"/>
    <mergeCell ref="AL46:AM46"/>
    <mergeCell ref="AN46:AN47"/>
    <mergeCell ref="AO46:AP46"/>
    <mergeCell ref="W47:X47"/>
    <mergeCell ref="AL47:AM47"/>
    <mergeCell ref="AO47:AP47"/>
    <mergeCell ref="M46:M47"/>
    <mergeCell ref="N46:O46"/>
    <mergeCell ref="P46:P47"/>
    <mergeCell ref="Q46:R46"/>
    <mergeCell ref="S46:S47"/>
    <mergeCell ref="T46:U46"/>
    <mergeCell ref="D46:D47"/>
    <mergeCell ref="E46:F46"/>
    <mergeCell ref="G46:G47"/>
    <mergeCell ref="H46:I46"/>
    <mergeCell ref="J46:J47"/>
    <mergeCell ref="K46:L46"/>
    <mergeCell ref="Y46:Y47"/>
    <mergeCell ref="Z46:AA46"/>
    <mergeCell ref="AB46:AB47"/>
    <mergeCell ref="AC46:AD46"/>
    <mergeCell ref="AE46:AE47"/>
    <mergeCell ref="AF46:AG46"/>
    <mergeCell ref="AH46:AH47"/>
    <mergeCell ref="AI46:AJ46"/>
    <mergeCell ref="Z47:AA47"/>
    <mergeCell ref="AC47:AD47"/>
    <mergeCell ref="AF47:AG47"/>
    <mergeCell ref="AI47:AJ47"/>
    <mergeCell ref="M48:M49"/>
    <mergeCell ref="N48:O48"/>
    <mergeCell ref="P48:P49"/>
    <mergeCell ref="Q48:R48"/>
    <mergeCell ref="S48:S49"/>
    <mergeCell ref="T48:U48"/>
    <mergeCell ref="D48:D49"/>
    <mergeCell ref="E48:F48"/>
    <mergeCell ref="G48:G49"/>
    <mergeCell ref="H48:I48"/>
    <mergeCell ref="J48:J49"/>
    <mergeCell ref="K48:L48"/>
    <mergeCell ref="BA46:BA47"/>
    <mergeCell ref="BB46:BB47"/>
    <mergeCell ref="BC46:BC47"/>
    <mergeCell ref="BE46:BE47"/>
    <mergeCell ref="E47:F47"/>
    <mergeCell ref="H47:I47"/>
    <mergeCell ref="K47:L47"/>
    <mergeCell ref="N47:O47"/>
    <mergeCell ref="Q47:R47"/>
    <mergeCell ref="T47:U47"/>
    <mergeCell ref="AT46:AT47"/>
    <mergeCell ref="AU46:AV46"/>
    <mergeCell ref="AW46:AW47"/>
    <mergeCell ref="AX46:AX47"/>
    <mergeCell ref="AY46:AY47"/>
    <mergeCell ref="AZ46:AZ47"/>
    <mergeCell ref="AU47:AV47"/>
    <mergeCell ref="V46:V47"/>
    <mergeCell ref="W46:X46"/>
    <mergeCell ref="AK46:AK47"/>
    <mergeCell ref="D50:D51"/>
    <mergeCell ref="E50:F50"/>
    <mergeCell ref="G50:G51"/>
    <mergeCell ref="H50:I50"/>
    <mergeCell ref="J50:J51"/>
    <mergeCell ref="K50:L50"/>
    <mergeCell ref="BA48:BA49"/>
    <mergeCell ref="BB48:BB49"/>
    <mergeCell ref="BC48:BC49"/>
    <mergeCell ref="BE48:BE49"/>
    <mergeCell ref="E49:F49"/>
    <mergeCell ref="H49:I49"/>
    <mergeCell ref="K49:L49"/>
    <mergeCell ref="N49:O49"/>
    <mergeCell ref="Q49:R49"/>
    <mergeCell ref="T49:U49"/>
    <mergeCell ref="AT48:AT49"/>
    <mergeCell ref="AU48:AV48"/>
    <mergeCell ref="AW48:AW49"/>
    <mergeCell ref="AX48:AX49"/>
    <mergeCell ref="AY48:AY49"/>
    <mergeCell ref="AZ48:AZ49"/>
    <mergeCell ref="AU49:AV49"/>
    <mergeCell ref="V48:V49"/>
    <mergeCell ref="W48:X48"/>
    <mergeCell ref="AK48:AK49"/>
    <mergeCell ref="AL48:AM48"/>
    <mergeCell ref="AN48:AN49"/>
    <mergeCell ref="AO48:AP48"/>
    <mergeCell ref="W49:X49"/>
    <mergeCell ref="AL49:AM49"/>
    <mergeCell ref="AO49:AP49"/>
    <mergeCell ref="BA50:BA51"/>
    <mergeCell ref="BB50:BB51"/>
    <mergeCell ref="BC50:BC51"/>
    <mergeCell ref="BE50:BE51"/>
    <mergeCell ref="E51:F51"/>
    <mergeCell ref="H51:I51"/>
    <mergeCell ref="K51:L51"/>
    <mergeCell ref="N51:O51"/>
    <mergeCell ref="Q51:R51"/>
    <mergeCell ref="T51:U51"/>
    <mergeCell ref="AT50:AT51"/>
    <mergeCell ref="AU50:AV50"/>
    <mergeCell ref="AW50:AW51"/>
    <mergeCell ref="AX50:AX51"/>
    <mergeCell ref="AY50:AY51"/>
    <mergeCell ref="AZ50:AZ51"/>
    <mergeCell ref="AU51:AV51"/>
    <mergeCell ref="V50:V51"/>
    <mergeCell ref="W50:X50"/>
    <mergeCell ref="AK50:AK51"/>
    <mergeCell ref="AL50:AM50"/>
    <mergeCell ref="AN50:AN51"/>
    <mergeCell ref="AO50:AP50"/>
    <mergeCell ref="W51:X51"/>
    <mergeCell ref="AL51:AM51"/>
    <mergeCell ref="AO51:AP51"/>
    <mergeCell ref="M50:M51"/>
    <mergeCell ref="N50:O50"/>
    <mergeCell ref="P50:P51"/>
    <mergeCell ref="Q50:R50"/>
    <mergeCell ref="S50:S51"/>
    <mergeCell ref="T50:U50"/>
    <mergeCell ref="AL52:AM52"/>
    <mergeCell ref="AN52:AN53"/>
    <mergeCell ref="AO52:AP52"/>
    <mergeCell ref="W53:X53"/>
    <mergeCell ref="AL53:AM53"/>
    <mergeCell ref="AO53:AP53"/>
    <mergeCell ref="M52:M53"/>
    <mergeCell ref="N52:O52"/>
    <mergeCell ref="P52:P53"/>
    <mergeCell ref="Q52:R52"/>
    <mergeCell ref="S52:S53"/>
    <mergeCell ref="T52:U52"/>
    <mergeCell ref="D52:D53"/>
    <mergeCell ref="E52:F52"/>
    <mergeCell ref="G52:G53"/>
    <mergeCell ref="H52:I52"/>
    <mergeCell ref="J52:J53"/>
    <mergeCell ref="K52:L52"/>
    <mergeCell ref="Y52:Y53"/>
    <mergeCell ref="Z52:AA52"/>
    <mergeCell ref="AB52:AB53"/>
    <mergeCell ref="AC52:AD52"/>
    <mergeCell ref="AE52:AE53"/>
    <mergeCell ref="AF52:AG52"/>
    <mergeCell ref="AH52:AH53"/>
    <mergeCell ref="AI52:AJ52"/>
    <mergeCell ref="Z53:AA53"/>
    <mergeCell ref="AC53:AD53"/>
    <mergeCell ref="AF53:AG53"/>
    <mergeCell ref="AI53:AJ53"/>
    <mergeCell ref="M54:M55"/>
    <mergeCell ref="N54:O54"/>
    <mergeCell ref="P54:P55"/>
    <mergeCell ref="Q54:R54"/>
    <mergeCell ref="S54:S55"/>
    <mergeCell ref="T54:U54"/>
    <mergeCell ref="D54:D55"/>
    <mergeCell ref="E54:F54"/>
    <mergeCell ref="G54:G55"/>
    <mergeCell ref="H54:I54"/>
    <mergeCell ref="J54:J55"/>
    <mergeCell ref="K54:L54"/>
    <mergeCell ref="BA52:BA53"/>
    <mergeCell ref="BB52:BB53"/>
    <mergeCell ref="BC52:BC53"/>
    <mergeCell ref="BE52:BE53"/>
    <mergeCell ref="E53:F53"/>
    <mergeCell ref="H53:I53"/>
    <mergeCell ref="K53:L53"/>
    <mergeCell ref="N53:O53"/>
    <mergeCell ref="Q53:R53"/>
    <mergeCell ref="T53:U53"/>
    <mergeCell ref="AT52:AT53"/>
    <mergeCell ref="AU52:AV52"/>
    <mergeCell ref="AW52:AW53"/>
    <mergeCell ref="AX52:AX53"/>
    <mergeCell ref="AY52:AY53"/>
    <mergeCell ref="AZ52:AZ53"/>
    <mergeCell ref="AU53:AV53"/>
    <mergeCell ref="V52:V53"/>
    <mergeCell ref="W52:X52"/>
    <mergeCell ref="AK52:AK53"/>
    <mergeCell ref="D56:D57"/>
    <mergeCell ref="E56:F56"/>
    <mergeCell ref="G56:G57"/>
    <mergeCell ref="H56:I56"/>
    <mergeCell ref="J56:J57"/>
    <mergeCell ref="K56:L56"/>
    <mergeCell ref="BA54:BA55"/>
    <mergeCell ref="BB54:BB55"/>
    <mergeCell ref="BC54:BC55"/>
    <mergeCell ref="BE54:BE55"/>
    <mergeCell ref="E55:F55"/>
    <mergeCell ref="H55:I55"/>
    <mergeCell ref="K55:L55"/>
    <mergeCell ref="N55:O55"/>
    <mergeCell ref="Q55:R55"/>
    <mergeCell ref="T55:U55"/>
    <mergeCell ref="AT54:AT55"/>
    <mergeCell ref="AU54:AV54"/>
    <mergeCell ref="AW54:AW55"/>
    <mergeCell ref="AX54:AX55"/>
    <mergeCell ref="AY54:AY55"/>
    <mergeCell ref="AZ54:AZ55"/>
    <mergeCell ref="AU55:AV55"/>
    <mergeCell ref="V54:V55"/>
    <mergeCell ref="W54:X54"/>
    <mergeCell ref="AK54:AK55"/>
    <mergeCell ref="AL54:AM54"/>
    <mergeCell ref="AN54:AN55"/>
    <mergeCell ref="AO54:AP54"/>
    <mergeCell ref="W55:X55"/>
    <mergeCell ref="AL55:AM55"/>
    <mergeCell ref="AO55:AP55"/>
    <mergeCell ref="BA56:BA57"/>
    <mergeCell ref="BB56:BB57"/>
    <mergeCell ref="BC56:BC57"/>
    <mergeCell ref="BE56:BE57"/>
    <mergeCell ref="E57:F57"/>
    <mergeCell ref="H57:I57"/>
    <mergeCell ref="K57:L57"/>
    <mergeCell ref="N57:O57"/>
    <mergeCell ref="Q57:R57"/>
    <mergeCell ref="T57:U57"/>
    <mergeCell ref="AT56:AT57"/>
    <mergeCell ref="AU56:AV56"/>
    <mergeCell ref="AW56:AW57"/>
    <mergeCell ref="AX56:AX57"/>
    <mergeCell ref="AY56:AY57"/>
    <mergeCell ref="AZ56:AZ57"/>
    <mergeCell ref="AU57:AV57"/>
    <mergeCell ref="V56:V57"/>
    <mergeCell ref="W56:X56"/>
    <mergeCell ref="AK56:AK57"/>
    <mergeCell ref="AL56:AM56"/>
    <mergeCell ref="AN56:AN57"/>
    <mergeCell ref="AO56:AP56"/>
    <mergeCell ref="W57:X57"/>
    <mergeCell ref="AL57:AM57"/>
    <mergeCell ref="AO57:AP57"/>
    <mergeCell ref="M56:M57"/>
    <mergeCell ref="N56:O56"/>
    <mergeCell ref="P56:P57"/>
    <mergeCell ref="Q56:R56"/>
    <mergeCell ref="S56:S57"/>
    <mergeCell ref="T56:U56"/>
    <mergeCell ref="AL58:AM58"/>
    <mergeCell ref="AN58:AN59"/>
    <mergeCell ref="AO58:AP58"/>
    <mergeCell ref="W59:X59"/>
    <mergeCell ref="AL59:AM59"/>
    <mergeCell ref="AO59:AP59"/>
    <mergeCell ref="M58:M59"/>
    <mergeCell ref="N58:O58"/>
    <mergeCell ref="P58:P59"/>
    <mergeCell ref="Q58:R58"/>
    <mergeCell ref="S58:S59"/>
    <mergeCell ref="T58:U58"/>
    <mergeCell ref="D58:D59"/>
    <mergeCell ref="E58:F58"/>
    <mergeCell ref="G58:G59"/>
    <mergeCell ref="H58:I58"/>
    <mergeCell ref="J58:J59"/>
    <mergeCell ref="K58:L58"/>
    <mergeCell ref="Y58:Y59"/>
    <mergeCell ref="Z58:AA58"/>
    <mergeCell ref="AB58:AB59"/>
    <mergeCell ref="AC58:AD58"/>
    <mergeCell ref="AE58:AE59"/>
    <mergeCell ref="AF58:AG58"/>
    <mergeCell ref="AH58:AH59"/>
    <mergeCell ref="AI58:AJ58"/>
    <mergeCell ref="Z59:AA59"/>
    <mergeCell ref="AC59:AD59"/>
    <mergeCell ref="AF59:AG59"/>
    <mergeCell ref="AI59:AJ59"/>
    <mergeCell ref="M60:M61"/>
    <mergeCell ref="N60:O60"/>
    <mergeCell ref="P60:P61"/>
    <mergeCell ref="Q60:R60"/>
    <mergeCell ref="S60:S61"/>
    <mergeCell ref="T60:U60"/>
    <mergeCell ref="D60:D61"/>
    <mergeCell ref="E60:F60"/>
    <mergeCell ref="G60:G61"/>
    <mergeCell ref="H60:I60"/>
    <mergeCell ref="J60:J61"/>
    <mergeCell ref="K60:L60"/>
    <mergeCell ref="BA58:BA59"/>
    <mergeCell ref="BB58:BB59"/>
    <mergeCell ref="BC58:BC59"/>
    <mergeCell ref="BE58:BE59"/>
    <mergeCell ref="E59:F59"/>
    <mergeCell ref="H59:I59"/>
    <mergeCell ref="K59:L59"/>
    <mergeCell ref="N59:O59"/>
    <mergeCell ref="Q59:R59"/>
    <mergeCell ref="T59:U59"/>
    <mergeCell ref="AT58:AT59"/>
    <mergeCell ref="AU58:AV58"/>
    <mergeCell ref="AW58:AW59"/>
    <mergeCell ref="AX58:AX59"/>
    <mergeCell ref="AY58:AY59"/>
    <mergeCell ref="AZ58:AZ59"/>
    <mergeCell ref="AU59:AV59"/>
    <mergeCell ref="V58:V59"/>
    <mergeCell ref="W58:X58"/>
    <mergeCell ref="AK58:AK59"/>
    <mergeCell ref="D62:D63"/>
    <mergeCell ref="E62:F62"/>
    <mergeCell ref="G62:G63"/>
    <mergeCell ref="H62:I62"/>
    <mergeCell ref="J62:J63"/>
    <mergeCell ref="K62:L62"/>
    <mergeCell ref="BA60:BA61"/>
    <mergeCell ref="BB60:BB61"/>
    <mergeCell ref="BC60:BC61"/>
    <mergeCell ref="BE60:BE61"/>
    <mergeCell ref="E61:F61"/>
    <mergeCell ref="H61:I61"/>
    <mergeCell ref="K61:L61"/>
    <mergeCell ref="N61:O61"/>
    <mergeCell ref="Q61:R61"/>
    <mergeCell ref="T61:U61"/>
    <mergeCell ref="AT60:AT61"/>
    <mergeCell ref="AU60:AV60"/>
    <mergeCell ref="AW60:AW61"/>
    <mergeCell ref="AX60:AX61"/>
    <mergeCell ref="AY60:AY61"/>
    <mergeCell ref="AZ60:AZ61"/>
    <mergeCell ref="AU61:AV61"/>
    <mergeCell ref="V60:V61"/>
    <mergeCell ref="W60:X60"/>
    <mergeCell ref="AK60:AK61"/>
    <mergeCell ref="AL60:AM60"/>
    <mergeCell ref="AN60:AN61"/>
    <mergeCell ref="AO60:AP60"/>
    <mergeCell ref="W61:X61"/>
    <mergeCell ref="AL61:AM61"/>
    <mergeCell ref="AO61:AP61"/>
    <mergeCell ref="BA62:BA63"/>
    <mergeCell ref="BB62:BB63"/>
    <mergeCell ref="BC62:BC63"/>
    <mergeCell ref="BE62:BE63"/>
    <mergeCell ref="E63:F63"/>
    <mergeCell ref="H63:I63"/>
    <mergeCell ref="K63:L63"/>
    <mergeCell ref="N63:O63"/>
    <mergeCell ref="Q63:R63"/>
    <mergeCell ref="T63:U63"/>
    <mergeCell ref="AT62:AT63"/>
    <mergeCell ref="AU62:AV62"/>
    <mergeCell ref="AW62:AW63"/>
    <mergeCell ref="AX62:AX63"/>
    <mergeCell ref="AY62:AY63"/>
    <mergeCell ref="AZ62:AZ63"/>
    <mergeCell ref="AU63:AV63"/>
    <mergeCell ref="V62:V63"/>
    <mergeCell ref="W62:X62"/>
    <mergeCell ref="AK62:AK63"/>
    <mergeCell ref="AL62:AM62"/>
    <mergeCell ref="AN62:AN63"/>
    <mergeCell ref="AO62:AP62"/>
    <mergeCell ref="W63:X63"/>
    <mergeCell ref="AL63:AM63"/>
    <mergeCell ref="AO63:AP63"/>
    <mergeCell ref="M62:M63"/>
    <mergeCell ref="N62:O62"/>
    <mergeCell ref="P62:P63"/>
    <mergeCell ref="Q62:R62"/>
    <mergeCell ref="S62:S63"/>
    <mergeCell ref="T62:U62"/>
    <mergeCell ref="AL64:AM64"/>
    <mergeCell ref="AN64:AN65"/>
    <mergeCell ref="AO64:AP64"/>
    <mergeCell ref="W65:X65"/>
    <mergeCell ref="AL65:AM65"/>
    <mergeCell ref="AO65:AP65"/>
    <mergeCell ref="M64:M65"/>
    <mergeCell ref="N64:O64"/>
    <mergeCell ref="P64:P65"/>
    <mergeCell ref="Q64:R64"/>
    <mergeCell ref="S64:S65"/>
    <mergeCell ref="T64:U64"/>
    <mergeCell ref="D64:D65"/>
    <mergeCell ref="E64:F64"/>
    <mergeCell ref="G64:G65"/>
    <mergeCell ref="H64:I64"/>
    <mergeCell ref="J64:J65"/>
    <mergeCell ref="K64:L64"/>
    <mergeCell ref="Y64:Y65"/>
    <mergeCell ref="Z64:AA64"/>
    <mergeCell ref="AB64:AB65"/>
    <mergeCell ref="AC64:AD64"/>
    <mergeCell ref="AE64:AE65"/>
    <mergeCell ref="AF64:AG64"/>
    <mergeCell ref="AH64:AH65"/>
    <mergeCell ref="AI64:AJ64"/>
    <mergeCell ref="Z65:AA65"/>
    <mergeCell ref="AC65:AD65"/>
    <mergeCell ref="AF65:AG65"/>
    <mergeCell ref="AI65:AJ65"/>
    <mergeCell ref="M66:M67"/>
    <mergeCell ref="N66:O66"/>
    <mergeCell ref="P66:P67"/>
    <mergeCell ref="Q66:R66"/>
    <mergeCell ref="S66:S67"/>
    <mergeCell ref="T66:U66"/>
    <mergeCell ref="D66:D67"/>
    <mergeCell ref="E66:F66"/>
    <mergeCell ref="G66:G67"/>
    <mergeCell ref="H66:I66"/>
    <mergeCell ref="J66:J67"/>
    <mergeCell ref="K66:L66"/>
    <mergeCell ref="BA64:BA65"/>
    <mergeCell ref="BB64:BB65"/>
    <mergeCell ref="BC64:BC65"/>
    <mergeCell ref="BE64:BE65"/>
    <mergeCell ref="E65:F65"/>
    <mergeCell ref="H65:I65"/>
    <mergeCell ref="K65:L65"/>
    <mergeCell ref="N65:O65"/>
    <mergeCell ref="Q65:R65"/>
    <mergeCell ref="T65:U65"/>
    <mergeCell ref="AT64:AT65"/>
    <mergeCell ref="AU64:AV64"/>
    <mergeCell ref="AW64:AW65"/>
    <mergeCell ref="AX64:AX65"/>
    <mergeCell ref="AY64:AY65"/>
    <mergeCell ref="AZ64:AZ65"/>
    <mergeCell ref="AU65:AV65"/>
    <mergeCell ref="V64:V65"/>
    <mergeCell ref="W64:X64"/>
    <mergeCell ref="AK64:AK65"/>
    <mergeCell ref="D68:D69"/>
    <mergeCell ref="E68:F68"/>
    <mergeCell ref="G68:G69"/>
    <mergeCell ref="H68:I68"/>
    <mergeCell ref="J68:J69"/>
    <mergeCell ref="K68:L68"/>
    <mergeCell ref="BA66:BA67"/>
    <mergeCell ref="BB66:BB67"/>
    <mergeCell ref="BC66:BC67"/>
    <mergeCell ref="BE66:BE67"/>
    <mergeCell ref="E67:F67"/>
    <mergeCell ref="H67:I67"/>
    <mergeCell ref="K67:L67"/>
    <mergeCell ref="N67:O67"/>
    <mergeCell ref="Q67:R67"/>
    <mergeCell ref="T67:U67"/>
    <mergeCell ref="AT66:AT67"/>
    <mergeCell ref="AU66:AV66"/>
    <mergeCell ref="AW66:AW67"/>
    <mergeCell ref="AX66:AX67"/>
    <mergeCell ref="AY66:AY67"/>
    <mergeCell ref="AZ66:AZ67"/>
    <mergeCell ref="AU67:AV67"/>
    <mergeCell ref="V66:V67"/>
    <mergeCell ref="W66:X66"/>
    <mergeCell ref="AK66:AK67"/>
    <mergeCell ref="AL66:AM66"/>
    <mergeCell ref="AN66:AN67"/>
    <mergeCell ref="AO66:AP66"/>
    <mergeCell ref="W67:X67"/>
    <mergeCell ref="AL67:AM67"/>
    <mergeCell ref="AO67:AP67"/>
    <mergeCell ref="BA68:BA69"/>
    <mergeCell ref="BB68:BB69"/>
    <mergeCell ref="BC68:BC69"/>
    <mergeCell ref="BE68:BE69"/>
    <mergeCell ref="E69:F69"/>
    <mergeCell ref="H69:I69"/>
    <mergeCell ref="K69:L69"/>
    <mergeCell ref="N69:O69"/>
    <mergeCell ref="Q69:R69"/>
    <mergeCell ref="T69:U69"/>
    <mergeCell ref="AT68:AT69"/>
    <mergeCell ref="AU68:AV68"/>
    <mergeCell ref="AW68:AW69"/>
    <mergeCell ref="AX68:AX69"/>
    <mergeCell ref="AY68:AY69"/>
    <mergeCell ref="AZ68:AZ69"/>
    <mergeCell ref="AU69:AV69"/>
    <mergeCell ref="V68:V69"/>
    <mergeCell ref="W68:X68"/>
    <mergeCell ref="AK68:AK69"/>
    <mergeCell ref="AL68:AM68"/>
    <mergeCell ref="AN68:AN69"/>
    <mergeCell ref="AO68:AP68"/>
    <mergeCell ref="W69:X69"/>
    <mergeCell ref="AL69:AM69"/>
    <mergeCell ref="AO69:AP69"/>
    <mergeCell ref="M68:M69"/>
    <mergeCell ref="N68:O68"/>
    <mergeCell ref="P68:P69"/>
    <mergeCell ref="Q68:R68"/>
    <mergeCell ref="S68:S69"/>
    <mergeCell ref="T68:U68"/>
    <mergeCell ref="AL70:AM70"/>
    <mergeCell ref="AN70:AN71"/>
    <mergeCell ref="AO70:AP70"/>
    <mergeCell ref="W71:X71"/>
    <mergeCell ref="AL71:AM71"/>
    <mergeCell ref="AO71:AP71"/>
    <mergeCell ref="M70:M71"/>
    <mergeCell ref="N70:O70"/>
    <mergeCell ref="P70:P71"/>
    <mergeCell ref="Q70:R70"/>
    <mergeCell ref="S70:S71"/>
    <mergeCell ref="T70:U70"/>
    <mergeCell ref="D70:D71"/>
    <mergeCell ref="E70:F70"/>
    <mergeCell ref="G70:G71"/>
    <mergeCell ref="H70:I70"/>
    <mergeCell ref="J70:J71"/>
    <mergeCell ref="K70:L70"/>
    <mergeCell ref="Y70:Y71"/>
    <mergeCell ref="Z70:AA70"/>
    <mergeCell ref="AB70:AB71"/>
    <mergeCell ref="AC70:AD70"/>
    <mergeCell ref="AE70:AE71"/>
    <mergeCell ref="AF70:AG70"/>
    <mergeCell ref="AH70:AH71"/>
    <mergeCell ref="AI70:AJ70"/>
    <mergeCell ref="Z71:AA71"/>
    <mergeCell ref="AC71:AD71"/>
    <mergeCell ref="AF71:AG71"/>
    <mergeCell ref="AI71:AJ71"/>
    <mergeCell ref="M72:M73"/>
    <mergeCell ref="N72:O72"/>
    <mergeCell ref="P72:P73"/>
    <mergeCell ref="Q72:R72"/>
    <mergeCell ref="S72:S73"/>
    <mergeCell ref="T72:U72"/>
    <mergeCell ref="D72:D73"/>
    <mergeCell ref="E72:F72"/>
    <mergeCell ref="G72:G73"/>
    <mergeCell ref="H72:I72"/>
    <mergeCell ref="J72:J73"/>
    <mergeCell ref="K72:L72"/>
    <mergeCell ref="BA70:BA71"/>
    <mergeCell ref="BB70:BB71"/>
    <mergeCell ref="BC70:BC71"/>
    <mergeCell ref="BE70:BE71"/>
    <mergeCell ref="E71:F71"/>
    <mergeCell ref="H71:I71"/>
    <mergeCell ref="K71:L71"/>
    <mergeCell ref="N71:O71"/>
    <mergeCell ref="Q71:R71"/>
    <mergeCell ref="T71:U71"/>
    <mergeCell ref="AT70:AT71"/>
    <mergeCell ref="AU70:AV70"/>
    <mergeCell ref="AW70:AW71"/>
    <mergeCell ref="AX70:AX71"/>
    <mergeCell ref="AY70:AY71"/>
    <mergeCell ref="AZ70:AZ71"/>
    <mergeCell ref="AU71:AV71"/>
    <mergeCell ref="V70:V71"/>
    <mergeCell ref="W70:X70"/>
    <mergeCell ref="AK70:AK71"/>
    <mergeCell ref="D74:D75"/>
    <mergeCell ref="E74:F74"/>
    <mergeCell ref="G74:G75"/>
    <mergeCell ref="H74:I74"/>
    <mergeCell ref="J74:J75"/>
    <mergeCell ref="K74:L74"/>
    <mergeCell ref="BA72:BA73"/>
    <mergeCell ref="BB72:BB73"/>
    <mergeCell ref="BC72:BC73"/>
    <mergeCell ref="BE72:BE73"/>
    <mergeCell ref="E73:F73"/>
    <mergeCell ref="H73:I73"/>
    <mergeCell ref="K73:L73"/>
    <mergeCell ref="N73:O73"/>
    <mergeCell ref="Q73:R73"/>
    <mergeCell ref="T73:U73"/>
    <mergeCell ref="AT72:AT73"/>
    <mergeCell ref="AU72:AV72"/>
    <mergeCell ref="AW72:AW73"/>
    <mergeCell ref="AX72:AX73"/>
    <mergeCell ref="AY72:AY73"/>
    <mergeCell ref="AZ72:AZ73"/>
    <mergeCell ref="AU73:AV73"/>
    <mergeCell ref="V72:V73"/>
    <mergeCell ref="W72:X72"/>
    <mergeCell ref="AK72:AK73"/>
    <mergeCell ref="AL72:AM72"/>
    <mergeCell ref="AN72:AN73"/>
    <mergeCell ref="AO72:AP72"/>
    <mergeCell ref="W73:X73"/>
    <mergeCell ref="AL73:AM73"/>
    <mergeCell ref="AO73:AP73"/>
    <mergeCell ref="BA74:BA75"/>
    <mergeCell ref="BB74:BB75"/>
    <mergeCell ref="BC74:BC75"/>
    <mergeCell ref="BE74:BE75"/>
    <mergeCell ref="E75:F75"/>
    <mergeCell ref="H75:I75"/>
    <mergeCell ref="K75:L75"/>
    <mergeCell ref="N75:O75"/>
    <mergeCell ref="Q75:R75"/>
    <mergeCell ref="T75:U75"/>
    <mergeCell ref="AT74:AT75"/>
    <mergeCell ref="AU74:AV74"/>
    <mergeCell ref="AW74:AW75"/>
    <mergeCell ref="AX74:AX75"/>
    <mergeCell ref="AY74:AY75"/>
    <mergeCell ref="AZ74:AZ75"/>
    <mergeCell ref="AU75:AV75"/>
    <mergeCell ref="V74:V75"/>
    <mergeCell ref="W74:X74"/>
    <mergeCell ref="AK74:AK75"/>
    <mergeCell ref="AL74:AM74"/>
    <mergeCell ref="AN74:AN75"/>
    <mergeCell ref="AO74:AP74"/>
    <mergeCell ref="W75:X75"/>
    <mergeCell ref="AL75:AM75"/>
    <mergeCell ref="AO75:AP75"/>
    <mergeCell ref="M74:M75"/>
    <mergeCell ref="N74:O74"/>
    <mergeCell ref="P74:P75"/>
    <mergeCell ref="Q74:R74"/>
    <mergeCell ref="S74:S75"/>
    <mergeCell ref="T74:U74"/>
    <mergeCell ref="AL76:AM76"/>
    <mergeCell ref="AN76:AN77"/>
    <mergeCell ref="AO76:AP76"/>
    <mergeCell ref="W77:X77"/>
    <mergeCell ref="AL77:AM77"/>
    <mergeCell ref="AO77:AP77"/>
    <mergeCell ref="M76:M77"/>
    <mergeCell ref="N76:O76"/>
    <mergeCell ref="P76:P77"/>
    <mergeCell ref="Q76:R76"/>
    <mergeCell ref="S76:S77"/>
    <mergeCell ref="T76:U76"/>
    <mergeCell ref="D76:D77"/>
    <mergeCell ref="E76:F76"/>
    <mergeCell ref="G76:G77"/>
    <mergeCell ref="H76:I76"/>
    <mergeCell ref="J76:J77"/>
    <mergeCell ref="K76:L76"/>
    <mergeCell ref="Y76:Y77"/>
    <mergeCell ref="Z76:AA76"/>
    <mergeCell ref="AB76:AB77"/>
    <mergeCell ref="AC76:AD76"/>
    <mergeCell ref="AE76:AE77"/>
    <mergeCell ref="AF76:AG76"/>
    <mergeCell ref="AH76:AH77"/>
    <mergeCell ref="AI76:AJ76"/>
    <mergeCell ref="Z77:AA77"/>
    <mergeCell ref="AC77:AD77"/>
    <mergeCell ref="AF77:AG77"/>
    <mergeCell ref="AI77:AJ77"/>
    <mergeCell ref="M78:M79"/>
    <mergeCell ref="N78:O78"/>
    <mergeCell ref="P78:P79"/>
    <mergeCell ref="Q78:R78"/>
    <mergeCell ref="S78:S79"/>
    <mergeCell ref="T78:U78"/>
    <mergeCell ref="D78:D79"/>
    <mergeCell ref="E78:F78"/>
    <mergeCell ref="G78:G79"/>
    <mergeCell ref="H78:I78"/>
    <mergeCell ref="J78:J79"/>
    <mergeCell ref="K78:L78"/>
    <mergeCell ref="BA76:BA77"/>
    <mergeCell ref="BB76:BB77"/>
    <mergeCell ref="BC76:BC77"/>
    <mergeCell ref="BE76:BE77"/>
    <mergeCell ref="E77:F77"/>
    <mergeCell ref="H77:I77"/>
    <mergeCell ref="K77:L77"/>
    <mergeCell ref="N77:O77"/>
    <mergeCell ref="Q77:R77"/>
    <mergeCell ref="T77:U77"/>
    <mergeCell ref="AT76:AT77"/>
    <mergeCell ref="AU76:AV76"/>
    <mergeCell ref="AW76:AW77"/>
    <mergeCell ref="AX76:AX77"/>
    <mergeCell ref="AY76:AY77"/>
    <mergeCell ref="AZ76:AZ77"/>
    <mergeCell ref="AU77:AV77"/>
    <mergeCell ref="V76:V77"/>
    <mergeCell ref="W76:X76"/>
    <mergeCell ref="AK76:AK77"/>
    <mergeCell ref="D80:D81"/>
    <mergeCell ref="E80:F80"/>
    <mergeCell ref="G80:G81"/>
    <mergeCell ref="H80:I80"/>
    <mergeCell ref="J80:J81"/>
    <mergeCell ref="K80:L80"/>
    <mergeCell ref="BA78:BA79"/>
    <mergeCell ref="BB78:BB79"/>
    <mergeCell ref="BC78:BC79"/>
    <mergeCell ref="BE78:BE79"/>
    <mergeCell ref="E79:F79"/>
    <mergeCell ref="H79:I79"/>
    <mergeCell ref="K79:L79"/>
    <mergeCell ref="N79:O79"/>
    <mergeCell ref="Q79:R79"/>
    <mergeCell ref="T79:U79"/>
    <mergeCell ref="AT78:AT79"/>
    <mergeCell ref="AU78:AV78"/>
    <mergeCell ref="AW78:AW79"/>
    <mergeCell ref="AX78:AX79"/>
    <mergeCell ref="AY78:AY79"/>
    <mergeCell ref="AZ78:AZ79"/>
    <mergeCell ref="AU79:AV79"/>
    <mergeCell ref="V78:V79"/>
    <mergeCell ref="W78:X78"/>
    <mergeCell ref="AK78:AK79"/>
    <mergeCell ref="AL78:AM78"/>
    <mergeCell ref="AN78:AN79"/>
    <mergeCell ref="AO78:AP78"/>
    <mergeCell ref="W79:X79"/>
    <mergeCell ref="AL79:AM79"/>
    <mergeCell ref="AO79:AP79"/>
    <mergeCell ref="BA80:BA81"/>
    <mergeCell ref="BB80:BB81"/>
    <mergeCell ref="BC80:BC81"/>
    <mergeCell ref="BE80:BE81"/>
    <mergeCell ref="E81:F81"/>
    <mergeCell ref="H81:I81"/>
    <mergeCell ref="K81:L81"/>
    <mergeCell ref="N81:O81"/>
    <mergeCell ref="Q81:R81"/>
    <mergeCell ref="T81:U81"/>
    <mergeCell ref="AT80:AT81"/>
    <mergeCell ref="AU80:AV80"/>
    <mergeCell ref="AW80:AW81"/>
    <mergeCell ref="AX80:AX81"/>
    <mergeCell ref="AY80:AY81"/>
    <mergeCell ref="AZ80:AZ81"/>
    <mergeCell ref="AU81:AV81"/>
    <mergeCell ref="V80:V81"/>
    <mergeCell ref="W80:X80"/>
    <mergeCell ref="AK80:AK81"/>
    <mergeCell ref="AL80:AM80"/>
    <mergeCell ref="AN80:AN81"/>
    <mergeCell ref="AO80:AP80"/>
    <mergeCell ref="W81:X81"/>
    <mergeCell ref="AL81:AM81"/>
    <mergeCell ref="AO81:AP81"/>
    <mergeCell ref="M80:M81"/>
    <mergeCell ref="N80:O80"/>
    <mergeCell ref="P80:P81"/>
    <mergeCell ref="Q80:R80"/>
    <mergeCell ref="S80:S81"/>
    <mergeCell ref="T80:U80"/>
    <mergeCell ref="AL82:AM82"/>
    <mergeCell ref="AN82:AN83"/>
    <mergeCell ref="AO82:AP82"/>
    <mergeCell ref="W83:X83"/>
    <mergeCell ref="AL83:AM83"/>
    <mergeCell ref="AO83:AP83"/>
    <mergeCell ref="M82:M83"/>
    <mergeCell ref="N82:O82"/>
    <mergeCell ref="P82:P83"/>
    <mergeCell ref="Q82:R82"/>
    <mergeCell ref="S82:S83"/>
    <mergeCell ref="T82:U82"/>
    <mergeCell ref="D82:D83"/>
    <mergeCell ref="E82:F82"/>
    <mergeCell ref="G82:G83"/>
    <mergeCell ref="H82:I82"/>
    <mergeCell ref="J82:J83"/>
    <mergeCell ref="K82:L82"/>
    <mergeCell ref="Y82:Y83"/>
    <mergeCell ref="Z82:AA82"/>
    <mergeCell ref="AB82:AB83"/>
    <mergeCell ref="AC82:AD82"/>
    <mergeCell ref="AE82:AE83"/>
    <mergeCell ref="AF82:AG82"/>
    <mergeCell ref="AH82:AH83"/>
    <mergeCell ref="AI82:AJ82"/>
    <mergeCell ref="Z83:AA83"/>
    <mergeCell ref="AC83:AD83"/>
    <mergeCell ref="AF83:AG83"/>
    <mergeCell ref="AI83:AJ83"/>
    <mergeCell ref="M84:M85"/>
    <mergeCell ref="N84:O84"/>
    <mergeCell ref="P84:P85"/>
    <mergeCell ref="Q84:R84"/>
    <mergeCell ref="S84:S85"/>
    <mergeCell ref="T84:U84"/>
    <mergeCell ref="D84:D85"/>
    <mergeCell ref="E84:F84"/>
    <mergeCell ref="G84:G85"/>
    <mergeCell ref="H84:I84"/>
    <mergeCell ref="J84:J85"/>
    <mergeCell ref="K84:L84"/>
    <mergeCell ref="BA82:BA83"/>
    <mergeCell ref="BB82:BB83"/>
    <mergeCell ref="BC82:BC83"/>
    <mergeCell ref="BE82:BE83"/>
    <mergeCell ref="E83:F83"/>
    <mergeCell ref="H83:I83"/>
    <mergeCell ref="K83:L83"/>
    <mergeCell ref="N83:O83"/>
    <mergeCell ref="Q83:R83"/>
    <mergeCell ref="T83:U83"/>
    <mergeCell ref="AT82:AT83"/>
    <mergeCell ref="AU82:AV82"/>
    <mergeCell ref="AW82:AW83"/>
    <mergeCell ref="AX82:AX83"/>
    <mergeCell ref="AY82:AY83"/>
    <mergeCell ref="AZ82:AZ83"/>
    <mergeCell ref="AU83:AV83"/>
    <mergeCell ref="V82:V83"/>
    <mergeCell ref="W82:X82"/>
    <mergeCell ref="AK82:AK83"/>
    <mergeCell ref="D86:D87"/>
    <mergeCell ref="E86:F86"/>
    <mergeCell ref="G86:G87"/>
    <mergeCell ref="H86:I86"/>
    <mergeCell ref="J86:J87"/>
    <mergeCell ref="K86:L86"/>
    <mergeCell ref="BA84:BA85"/>
    <mergeCell ref="BB84:BB85"/>
    <mergeCell ref="BC84:BC85"/>
    <mergeCell ref="BE84:BE85"/>
    <mergeCell ref="E85:F85"/>
    <mergeCell ref="H85:I85"/>
    <mergeCell ref="K85:L85"/>
    <mergeCell ref="N85:O85"/>
    <mergeCell ref="Q85:R85"/>
    <mergeCell ref="T85:U85"/>
    <mergeCell ref="AT84:AT85"/>
    <mergeCell ref="AU84:AV84"/>
    <mergeCell ref="AW84:AW85"/>
    <mergeCell ref="AX84:AX85"/>
    <mergeCell ref="AY84:AY85"/>
    <mergeCell ref="AZ84:AZ85"/>
    <mergeCell ref="AU85:AV85"/>
    <mergeCell ref="V84:V85"/>
    <mergeCell ref="W84:X84"/>
    <mergeCell ref="AK84:AK85"/>
    <mergeCell ref="AL84:AM84"/>
    <mergeCell ref="AN84:AN85"/>
    <mergeCell ref="AO84:AP84"/>
    <mergeCell ref="W85:X85"/>
    <mergeCell ref="AL85:AM85"/>
    <mergeCell ref="AO85:AP85"/>
    <mergeCell ref="BA86:BA87"/>
    <mergeCell ref="BB86:BB87"/>
    <mergeCell ref="BC86:BC87"/>
    <mergeCell ref="BE86:BE87"/>
    <mergeCell ref="E87:F87"/>
    <mergeCell ref="H87:I87"/>
    <mergeCell ref="K87:L87"/>
    <mergeCell ref="N87:O87"/>
    <mergeCell ref="Q87:R87"/>
    <mergeCell ref="T87:U87"/>
    <mergeCell ref="AT86:AT87"/>
    <mergeCell ref="AU86:AV86"/>
    <mergeCell ref="AW86:AW87"/>
    <mergeCell ref="AX86:AX87"/>
    <mergeCell ref="AY86:AY87"/>
    <mergeCell ref="AZ86:AZ87"/>
    <mergeCell ref="AU87:AV87"/>
    <mergeCell ref="V86:V87"/>
    <mergeCell ref="W86:X86"/>
    <mergeCell ref="AK86:AK87"/>
    <mergeCell ref="AL86:AM86"/>
    <mergeCell ref="AN86:AN87"/>
    <mergeCell ref="AO86:AP86"/>
    <mergeCell ref="W87:X87"/>
    <mergeCell ref="AL87:AM87"/>
    <mergeCell ref="AO87:AP87"/>
    <mergeCell ref="M86:M87"/>
    <mergeCell ref="N86:O86"/>
    <mergeCell ref="P86:P87"/>
    <mergeCell ref="Q86:R86"/>
    <mergeCell ref="S86:S87"/>
    <mergeCell ref="T86:U86"/>
    <mergeCell ref="AL88:AM88"/>
    <mergeCell ref="AN88:AN89"/>
    <mergeCell ref="AO88:AP88"/>
    <mergeCell ref="W89:X89"/>
    <mergeCell ref="AL89:AM89"/>
    <mergeCell ref="AO89:AP89"/>
    <mergeCell ref="M88:M89"/>
    <mergeCell ref="N88:O88"/>
    <mergeCell ref="P88:P89"/>
    <mergeCell ref="Q88:R88"/>
    <mergeCell ref="S88:S89"/>
    <mergeCell ref="T88:U88"/>
    <mergeCell ref="D88:D89"/>
    <mergeCell ref="E88:F88"/>
    <mergeCell ref="G88:G89"/>
    <mergeCell ref="H88:I88"/>
    <mergeCell ref="J88:J89"/>
    <mergeCell ref="K88:L88"/>
    <mergeCell ref="Y88:Y89"/>
    <mergeCell ref="Z88:AA88"/>
    <mergeCell ref="AB88:AB89"/>
    <mergeCell ref="AC88:AD88"/>
    <mergeCell ref="AE88:AE89"/>
    <mergeCell ref="AF88:AG88"/>
    <mergeCell ref="AH88:AH89"/>
    <mergeCell ref="AI88:AJ88"/>
    <mergeCell ref="Z89:AA89"/>
    <mergeCell ref="AC89:AD89"/>
    <mergeCell ref="AF89:AG89"/>
    <mergeCell ref="AI89:AJ89"/>
    <mergeCell ref="M90:M91"/>
    <mergeCell ref="N90:O90"/>
    <mergeCell ref="P90:P91"/>
    <mergeCell ref="Q90:R90"/>
    <mergeCell ref="S90:S91"/>
    <mergeCell ref="T90:U90"/>
    <mergeCell ref="D90:D91"/>
    <mergeCell ref="E90:F90"/>
    <mergeCell ref="G90:G91"/>
    <mergeCell ref="H90:I90"/>
    <mergeCell ref="J90:J91"/>
    <mergeCell ref="K90:L90"/>
    <mergeCell ref="BA88:BA89"/>
    <mergeCell ref="BB88:BB89"/>
    <mergeCell ref="BC88:BC89"/>
    <mergeCell ref="BE88:BE89"/>
    <mergeCell ref="E89:F89"/>
    <mergeCell ref="H89:I89"/>
    <mergeCell ref="K89:L89"/>
    <mergeCell ref="N89:O89"/>
    <mergeCell ref="Q89:R89"/>
    <mergeCell ref="T89:U89"/>
    <mergeCell ref="AT88:AT89"/>
    <mergeCell ref="AU88:AV88"/>
    <mergeCell ref="AW88:AW89"/>
    <mergeCell ref="AX88:AX89"/>
    <mergeCell ref="AY88:AY89"/>
    <mergeCell ref="AZ88:AZ89"/>
    <mergeCell ref="AU89:AV89"/>
    <mergeCell ref="V88:V89"/>
    <mergeCell ref="W88:X88"/>
    <mergeCell ref="AK88:AK89"/>
    <mergeCell ref="D92:D93"/>
    <mergeCell ref="E92:F92"/>
    <mergeCell ref="G92:G93"/>
    <mergeCell ref="H92:I92"/>
    <mergeCell ref="J92:J93"/>
    <mergeCell ref="K92:L92"/>
    <mergeCell ref="BA90:BA91"/>
    <mergeCell ref="BB90:BB91"/>
    <mergeCell ref="BC90:BC91"/>
    <mergeCell ref="BE90:BE91"/>
    <mergeCell ref="E91:F91"/>
    <mergeCell ref="H91:I91"/>
    <mergeCell ref="K91:L91"/>
    <mergeCell ref="N91:O91"/>
    <mergeCell ref="Q91:R91"/>
    <mergeCell ref="T91:U91"/>
    <mergeCell ref="AT90:AT91"/>
    <mergeCell ref="AU90:AV90"/>
    <mergeCell ref="AW90:AW91"/>
    <mergeCell ref="AX90:AX91"/>
    <mergeCell ref="AY90:AY91"/>
    <mergeCell ref="AZ90:AZ91"/>
    <mergeCell ref="AU91:AV91"/>
    <mergeCell ref="V90:V91"/>
    <mergeCell ref="W90:X90"/>
    <mergeCell ref="AK90:AK91"/>
    <mergeCell ref="AL90:AM90"/>
    <mergeCell ref="AN90:AN91"/>
    <mergeCell ref="AO90:AP90"/>
    <mergeCell ref="W91:X91"/>
    <mergeCell ref="AL91:AM91"/>
    <mergeCell ref="AO91:AP91"/>
    <mergeCell ref="BA92:BA93"/>
    <mergeCell ref="BB92:BB93"/>
    <mergeCell ref="BC92:BC93"/>
    <mergeCell ref="BE92:BE93"/>
    <mergeCell ref="E93:F93"/>
    <mergeCell ref="H93:I93"/>
    <mergeCell ref="K93:L93"/>
    <mergeCell ref="N93:O93"/>
    <mergeCell ref="Q93:R93"/>
    <mergeCell ref="T93:U93"/>
    <mergeCell ref="AT92:AT93"/>
    <mergeCell ref="AU92:AV92"/>
    <mergeCell ref="AW92:AW93"/>
    <mergeCell ref="AX92:AX93"/>
    <mergeCell ref="AY92:AY93"/>
    <mergeCell ref="AZ92:AZ93"/>
    <mergeCell ref="AU93:AV93"/>
    <mergeCell ref="V92:V93"/>
    <mergeCell ref="W92:X92"/>
    <mergeCell ref="AK92:AK93"/>
    <mergeCell ref="AL92:AM92"/>
    <mergeCell ref="AN92:AN93"/>
    <mergeCell ref="AO92:AP92"/>
    <mergeCell ref="W93:X93"/>
    <mergeCell ref="AL93:AM93"/>
    <mergeCell ref="AO93:AP93"/>
    <mergeCell ref="M92:M93"/>
    <mergeCell ref="N92:O92"/>
    <mergeCell ref="P92:P93"/>
    <mergeCell ref="Q92:R92"/>
    <mergeCell ref="S92:S93"/>
    <mergeCell ref="T92:U92"/>
    <mergeCell ref="AL94:AM94"/>
    <mergeCell ref="AN94:AN95"/>
    <mergeCell ref="AO94:AP94"/>
    <mergeCell ref="W95:X95"/>
    <mergeCell ref="AL95:AM95"/>
    <mergeCell ref="AO95:AP95"/>
    <mergeCell ref="M94:M95"/>
    <mergeCell ref="N94:O94"/>
    <mergeCell ref="P94:P95"/>
    <mergeCell ref="Q94:R94"/>
    <mergeCell ref="S94:S95"/>
    <mergeCell ref="T94:U94"/>
    <mergeCell ref="D94:D95"/>
    <mergeCell ref="E94:F94"/>
    <mergeCell ref="G94:G95"/>
    <mergeCell ref="H94:I94"/>
    <mergeCell ref="J94:J95"/>
    <mergeCell ref="K94:L94"/>
    <mergeCell ref="Y94:Y95"/>
    <mergeCell ref="Z94:AA94"/>
    <mergeCell ref="AB94:AB95"/>
    <mergeCell ref="AC94:AD94"/>
    <mergeCell ref="AE94:AE95"/>
    <mergeCell ref="AF94:AG94"/>
    <mergeCell ref="AH94:AH95"/>
    <mergeCell ref="AI94:AJ94"/>
    <mergeCell ref="Z95:AA95"/>
    <mergeCell ref="AC95:AD95"/>
    <mergeCell ref="AF95:AG95"/>
    <mergeCell ref="AI95:AJ95"/>
    <mergeCell ref="M96:M97"/>
    <mergeCell ref="N96:O96"/>
    <mergeCell ref="P96:P97"/>
    <mergeCell ref="Q96:R96"/>
    <mergeCell ref="S96:S97"/>
    <mergeCell ref="T96:U96"/>
    <mergeCell ref="D96:D97"/>
    <mergeCell ref="E96:F96"/>
    <mergeCell ref="G96:G97"/>
    <mergeCell ref="H96:I96"/>
    <mergeCell ref="J96:J97"/>
    <mergeCell ref="K96:L96"/>
    <mergeCell ref="BA94:BA95"/>
    <mergeCell ref="BB94:BB95"/>
    <mergeCell ref="BC94:BC95"/>
    <mergeCell ref="BE94:BE95"/>
    <mergeCell ref="E95:F95"/>
    <mergeCell ref="H95:I95"/>
    <mergeCell ref="K95:L95"/>
    <mergeCell ref="N95:O95"/>
    <mergeCell ref="Q95:R95"/>
    <mergeCell ref="T95:U95"/>
    <mergeCell ref="AT94:AT95"/>
    <mergeCell ref="AU94:AV94"/>
    <mergeCell ref="AW94:AW95"/>
    <mergeCell ref="AX94:AX95"/>
    <mergeCell ref="AY94:AY95"/>
    <mergeCell ref="AZ94:AZ95"/>
    <mergeCell ref="AU95:AV95"/>
    <mergeCell ref="V94:V95"/>
    <mergeCell ref="W94:X94"/>
    <mergeCell ref="AK94:AK95"/>
    <mergeCell ref="D98:D99"/>
    <mergeCell ref="E98:F98"/>
    <mergeCell ref="G98:G99"/>
    <mergeCell ref="H98:I98"/>
    <mergeCell ref="J98:J99"/>
    <mergeCell ref="K98:L98"/>
    <mergeCell ref="BA96:BA97"/>
    <mergeCell ref="BB96:BB97"/>
    <mergeCell ref="BC96:BC97"/>
    <mergeCell ref="BE96:BE97"/>
    <mergeCell ref="E97:F97"/>
    <mergeCell ref="H97:I97"/>
    <mergeCell ref="K97:L97"/>
    <mergeCell ref="N97:O97"/>
    <mergeCell ref="Q97:R97"/>
    <mergeCell ref="T97:U97"/>
    <mergeCell ref="AT96:AT97"/>
    <mergeCell ref="AU96:AV96"/>
    <mergeCell ref="AW96:AW97"/>
    <mergeCell ref="AX96:AX97"/>
    <mergeCell ref="AY96:AY97"/>
    <mergeCell ref="AZ96:AZ97"/>
    <mergeCell ref="AU97:AV97"/>
    <mergeCell ref="V96:V97"/>
    <mergeCell ref="W96:X96"/>
    <mergeCell ref="AK96:AK97"/>
    <mergeCell ref="AL96:AM96"/>
    <mergeCell ref="AN96:AN97"/>
    <mergeCell ref="AO96:AP96"/>
    <mergeCell ref="W97:X97"/>
    <mergeCell ref="AL97:AM97"/>
    <mergeCell ref="AO97:AP97"/>
    <mergeCell ref="BA98:BA99"/>
    <mergeCell ref="BB98:BB99"/>
    <mergeCell ref="BC98:BC99"/>
    <mergeCell ref="BE98:BE99"/>
    <mergeCell ref="E99:F99"/>
    <mergeCell ref="H99:I99"/>
    <mergeCell ref="K99:L99"/>
    <mergeCell ref="N99:O99"/>
    <mergeCell ref="Q99:R99"/>
    <mergeCell ref="T99:U99"/>
    <mergeCell ref="AT98:AT99"/>
    <mergeCell ref="AU98:AV98"/>
    <mergeCell ref="AW98:AW99"/>
    <mergeCell ref="AX98:AX99"/>
    <mergeCell ref="AY98:AY99"/>
    <mergeCell ref="AZ98:AZ99"/>
    <mergeCell ref="AU99:AV99"/>
    <mergeCell ref="V98:V99"/>
    <mergeCell ref="W98:X98"/>
    <mergeCell ref="AK98:AK99"/>
    <mergeCell ref="AL98:AM98"/>
    <mergeCell ref="AN98:AN99"/>
    <mergeCell ref="AO98:AP98"/>
    <mergeCell ref="W99:X99"/>
    <mergeCell ref="AL99:AM99"/>
    <mergeCell ref="AO99:AP99"/>
    <mergeCell ref="M98:M99"/>
    <mergeCell ref="N98:O98"/>
    <mergeCell ref="P98:P99"/>
    <mergeCell ref="Q98:R98"/>
    <mergeCell ref="S98:S99"/>
    <mergeCell ref="T98:U98"/>
    <mergeCell ref="AL100:AM100"/>
    <mergeCell ref="AN100:AN101"/>
    <mergeCell ref="AO100:AP100"/>
    <mergeCell ref="W101:X101"/>
    <mergeCell ref="AL101:AM101"/>
    <mergeCell ref="AO101:AP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Y100:Y101"/>
    <mergeCell ref="Z100:AA100"/>
    <mergeCell ref="AB100:AB101"/>
    <mergeCell ref="AC100:AD100"/>
    <mergeCell ref="AE100:AE101"/>
    <mergeCell ref="AF100:AG100"/>
    <mergeCell ref="AH100:AH101"/>
    <mergeCell ref="AI100:AJ100"/>
    <mergeCell ref="Z101:AA101"/>
    <mergeCell ref="AC101:AD101"/>
    <mergeCell ref="AF101:AG101"/>
    <mergeCell ref="AI101:AJ101"/>
    <mergeCell ref="M102:M103"/>
    <mergeCell ref="N102:O102"/>
    <mergeCell ref="P102:P103"/>
    <mergeCell ref="Q102:R102"/>
    <mergeCell ref="S102:S103"/>
    <mergeCell ref="T102:U102"/>
    <mergeCell ref="D102:D103"/>
    <mergeCell ref="E102:F102"/>
    <mergeCell ref="G102:G103"/>
    <mergeCell ref="H102:I102"/>
    <mergeCell ref="J102:J103"/>
    <mergeCell ref="K102:L102"/>
    <mergeCell ref="BA100:BA101"/>
    <mergeCell ref="BB100:BB101"/>
    <mergeCell ref="BC100:BC101"/>
    <mergeCell ref="BE100:BE101"/>
    <mergeCell ref="E101:F101"/>
    <mergeCell ref="H101:I101"/>
    <mergeCell ref="K101:L101"/>
    <mergeCell ref="N101:O101"/>
    <mergeCell ref="Q101:R101"/>
    <mergeCell ref="T101:U101"/>
    <mergeCell ref="AT100:AT101"/>
    <mergeCell ref="AU100:AV100"/>
    <mergeCell ref="AW100:AW101"/>
    <mergeCell ref="AX100:AX101"/>
    <mergeCell ref="AY100:AY101"/>
    <mergeCell ref="AZ100:AZ101"/>
    <mergeCell ref="AU101:AV101"/>
    <mergeCell ref="V100:V101"/>
    <mergeCell ref="W100:X100"/>
    <mergeCell ref="AK100:AK101"/>
    <mergeCell ref="D104:D105"/>
    <mergeCell ref="E104:F104"/>
    <mergeCell ref="G104:G105"/>
    <mergeCell ref="H104:I104"/>
    <mergeCell ref="J104:J105"/>
    <mergeCell ref="K104:L104"/>
    <mergeCell ref="BA102:BA103"/>
    <mergeCell ref="BB102:BB103"/>
    <mergeCell ref="BC102:BC103"/>
    <mergeCell ref="BE102:BE103"/>
    <mergeCell ref="E103:F103"/>
    <mergeCell ref="H103:I103"/>
    <mergeCell ref="K103:L103"/>
    <mergeCell ref="N103:O103"/>
    <mergeCell ref="Q103:R103"/>
    <mergeCell ref="T103:U103"/>
    <mergeCell ref="AT102:AT103"/>
    <mergeCell ref="AU102:AV102"/>
    <mergeCell ref="AW102:AW103"/>
    <mergeCell ref="AX102:AX103"/>
    <mergeCell ref="AY102:AY103"/>
    <mergeCell ref="AZ102:AZ103"/>
    <mergeCell ref="AU103:AV103"/>
    <mergeCell ref="V102:V103"/>
    <mergeCell ref="W102:X102"/>
    <mergeCell ref="AK102:AK103"/>
    <mergeCell ref="AL102:AM102"/>
    <mergeCell ref="AN102:AN103"/>
    <mergeCell ref="AO102:AP102"/>
    <mergeCell ref="W103:X103"/>
    <mergeCell ref="AL103:AM103"/>
    <mergeCell ref="AO103:AP103"/>
    <mergeCell ref="BA104:BA105"/>
    <mergeCell ref="BB104:BB105"/>
    <mergeCell ref="BC104:BC105"/>
    <mergeCell ref="BE104:BE105"/>
    <mergeCell ref="E105:F105"/>
    <mergeCell ref="H105:I105"/>
    <mergeCell ref="K105:L105"/>
    <mergeCell ref="N105:O105"/>
    <mergeCell ref="Q105:R105"/>
    <mergeCell ref="T105:U105"/>
    <mergeCell ref="AT104:AT105"/>
    <mergeCell ref="AU104:AV104"/>
    <mergeCell ref="AW104:AW105"/>
    <mergeCell ref="AX104:AX105"/>
    <mergeCell ref="AY104:AY105"/>
    <mergeCell ref="AZ104:AZ105"/>
    <mergeCell ref="AU105:AV105"/>
    <mergeCell ref="V104:V105"/>
    <mergeCell ref="W104:X104"/>
    <mergeCell ref="AK104:AK105"/>
    <mergeCell ref="AL104:AM104"/>
    <mergeCell ref="AN104:AN105"/>
    <mergeCell ref="AO104:AP104"/>
    <mergeCell ref="W105:X105"/>
    <mergeCell ref="AL105:AM105"/>
    <mergeCell ref="AO105:AP105"/>
    <mergeCell ref="M104:M105"/>
    <mergeCell ref="N104:O104"/>
    <mergeCell ref="P104:P105"/>
    <mergeCell ref="Q104:R104"/>
    <mergeCell ref="S104:S105"/>
    <mergeCell ref="T104:U104"/>
    <mergeCell ref="P107:R107"/>
    <mergeCell ref="S107:U107"/>
    <mergeCell ref="V107:X107"/>
    <mergeCell ref="AK107:AM107"/>
    <mergeCell ref="AN107:AP107"/>
    <mergeCell ref="AT107:AV107"/>
    <mergeCell ref="S106:U106"/>
    <mergeCell ref="V106:X106"/>
    <mergeCell ref="AK106:AM106"/>
    <mergeCell ref="AN106:AP106"/>
    <mergeCell ref="AT106:AV106"/>
    <mergeCell ref="A107:C107"/>
    <mergeCell ref="D107:F107"/>
    <mergeCell ref="G107:I107"/>
    <mergeCell ref="J107:L107"/>
    <mergeCell ref="M107:O107"/>
    <mergeCell ref="A106:C106"/>
    <mergeCell ref="D106:F106"/>
    <mergeCell ref="G106:I106"/>
    <mergeCell ref="J106:L106"/>
    <mergeCell ref="M106:O106"/>
    <mergeCell ref="P106:R106"/>
    <mergeCell ref="Y106:AA106"/>
    <mergeCell ref="AB106:AD106"/>
    <mergeCell ref="AE106:AG106"/>
    <mergeCell ref="AH106:AJ106"/>
    <mergeCell ref="Y107:AA107"/>
    <mergeCell ref="AB107:AD107"/>
    <mergeCell ref="AE107:AG107"/>
    <mergeCell ref="AH107:AJ107"/>
  </mergeCells>
  <phoneticPr fontId="3"/>
  <conditionalFormatting sqref="D107:X107 AT107:AV107 AK107:AP107">
    <cfRule type="cellIs" dxfId="66" priority="56" stopIfTrue="1" operator="lessThan">
      <formula>60</formula>
    </cfRule>
  </conditionalFormatting>
  <conditionalFormatting sqref="AX107">
    <cfRule type="cellIs" dxfId="65" priority="54" stopIfTrue="1" operator="lessThan">
      <formula>60</formula>
    </cfRule>
    <cfRule type="cellIs" priority="55" stopIfTrue="1" operator="lessThan">
      <formula>60</formula>
    </cfRule>
  </conditionalFormatting>
  <conditionalFormatting sqref="J10:J57 P10:P57 V10:V57 AK10:AK57">
    <cfRule type="cellIs" dxfId="64" priority="53" stopIfTrue="1" operator="lessThan">
      <formula>44</formula>
    </cfRule>
  </conditionalFormatting>
  <conditionalFormatting sqref="D10:D73 G10:G73">
    <cfRule type="cellIs" dxfId="63" priority="52" stopIfTrue="1" operator="lessThan">
      <formula>44</formula>
    </cfRule>
  </conditionalFormatting>
  <conditionalFormatting sqref="E10:F73">
    <cfRule type="cellIs" dxfId="62" priority="51" stopIfTrue="1" operator="greaterThan">
      <formula>36</formula>
    </cfRule>
  </conditionalFormatting>
  <conditionalFormatting sqref="H10:I73">
    <cfRule type="cellIs" dxfId="61" priority="49" stopIfTrue="1" operator="greaterThan">
      <formula>37</formula>
    </cfRule>
    <cfRule type="cellIs" priority="50" stopIfTrue="1" operator="greaterThan">
      <formula>38</formula>
    </cfRule>
  </conditionalFormatting>
  <conditionalFormatting sqref="D10:D57 P10:P57 V10:V57 AK10:AK57 J10:J57">
    <cfRule type="cellIs" dxfId="60" priority="48" stopIfTrue="1" operator="lessThan">
      <formula>44</formula>
    </cfRule>
  </conditionalFormatting>
  <conditionalFormatting sqref="E10:F85">
    <cfRule type="cellIs" dxfId="59" priority="47" stopIfTrue="1" operator="greaterThan">
      <formula>$E$105</formula>
    </cfRule>
  </conditionalFormatting>
  <conditionalFormatting sqref="H10:I58">
    <cfRule type="cellIs" dxfId="58" priority="46" stopIfTrue="1" operator="greaterThan">
      <formula>$H$105</formula>
    </cfRule>
  </conditionalFormatting>
  <conditionalFormatting sqref="H10:I85">
    <cfRule type="cellIs" dxfId="57" priority="45" stopIfTrue="1" operator="greaterThan">
      <formula>$H$105</formula>
    </cfRule>
  </conditionalFormatting>
  <conditionalFormatting sqref="E10:F85">
    <cfRule type="cellIs" dxfId="56" priority="44" stopIfTrue="1" operator="greaterThan">
      <formula>$E$105</formula>
    </cfRule>
  </conditionalFormatting>
  <conditionalFormatting sqref="D10:D103 G10:G103 J10:J103 M10:M103 P10:P103 S10:S103 V10:V103 AK10:AK103 AN10:AN103 AT10:AT103">
    <cfRule type="cellIs" dxfId="55" priority="43" stopIfTrue="1" operator="lessThan">
      <formula>44</formula>
    </cfRule>
  </conditionalFormatting>
  <conditionalFormatting sqref="E10:F103">
    <cfRule type="cellIs" dxfId="54" priority="42" stopIfTrue="1" operator="greaterThan">
      <formula>$E$105</formula>
    </cfRule>
  </conditionalFormatting>
  <conditionalFormatting sqref="H10:I103">
    <cfRule type="cellIs" dxfId="53" priority="41" stopIfTrue="1" operator="greaterThan">
      <formula>$H$105</formula>
    </cfRule>
  </conditionalFormatting>
  <conditionalFormatting sqref="AO10:AP103">
    <cfRule type="cellIs" dxfId="52" priority="40" stopIfTrue="1" operator="greaterThan">
      <formula>$AL$105</formula>
    </cfRule>
  </conditionalFormatting>
  <conditionalFormatting sqref="AU10:AV103">
    <cfRule type="cellIs" dxfId="51" priority="39" stopIfTrue="1" operator="greaterThan">
      <formula>$AU$105</formula>
    </cfRule>
  </conditionalFormatting>
  <conditionalFormatting sqref="K10:L103">
    <cfRule type="cellIs" dxfId="50" priority="38" stopIfTrue="1" operator="greaterThan">
      <formula>$K$105</formula>
    </cfRule>
  </conditionalFormatting>
  <conditionalFormatting sqref="N10:O103">
    <cfRule type="cellIs" dxfId="49" priority="37" stopIfTrue="1" operator="greaterThan">
      <formula>$N$105</formula>
    </cfRule>
  </conditionalFormatting>
  <conditionalFormatting sqref="Q10:R103">
    <cfRule type="cellIs" dxfId="48" priority="36" stopIfTrue="1" operator="greaterThan">
      <formula>$Q$104</formula>
    </cfRule>
  </conditionalFormatting>
  <conditionalFormatting sqref="T10:U103">
    <cfRule type="cellIs" dxfId="47" priority="35" stopIfTrue="1" operator="greaterThan">
      <formula>$T$105</formula>
    </cfRule>
  </conditionalFormatting>
  <conditionalFormatting sqref="W10:X103">
    <cfRule type="cellIs" dxfId="46" priority="34" stopIfTrue="1" operator="greaterThan">
      <formula>$W$105</formula>
    </cfRule>
  </conditionalFormatting>
  <conditionalFormatting sqref="AL10:AM103">
    <cfRule type="cellIs" dxfId="45" priority="33" stopIfTrue="1" operator="greaterThan">
      <formula>$AL$105</formula>
    </cfRule>
  </conditionalFormatting>
  <conditionalFormatting sqref="D8:D9 G8:G9 J8:J9 M8:M9 P8:P9 S8:S9 V8:V9 AK8:AK9 AN8:AN9 AT8:AT9">
    <cfRule type="cellIs" dxfId="44" priority="32" stopIfTrue="1" operator="lessThan">
      <formula>44</formula>
    </cfRule>
  </conditionalFormatting>
  <conditionalFormatting sqref="E8:F8">
    <cfRule type="cellIs" dxfId="43" priority="31" stopIfTrue="1" operator="greaterThan">
      <formula>$E$105</formula>
    </cfRule>
  </conditionalFormatting>
  <conditionalFormatting sqref="H8:I8">
    <cfRule type="cellIs" dxfId="42" priority="30" stopIfTrue="1" operator="greaterThan">
      <formula>$H$105</formula>
    </cfRule>
  </conditionalFormatting>
  <conditionalFormatting sqref="K8:L8">
    <cfRule type="cellIs" dxfId="41" priority="29" stopIfTrue="1" operator="greaterThan">
      <formula>$K$105</formula>
    </cfRule>
  </conditionalFormatting>
  <conditionalFormatting sqref="N8:O8">
    <cfRule type="cellIs" dxfId="40" priority="28" stopIfTrue="1" operator="greaterThan">
      <formula>$N$105</formula>
    </cfRule>
  </conditionalFormatting>
  <conditionalFormatting sqref="Q8:R8">
    <cfRule type="cellIs" dxfId="39" priority="27" stopIfTrue="1" operator="greaterThan">
      <formula>$Q$105</formula>
    </cfRule>
  </conditionalFormatting>
  <conditionalFormatting sqref="T8:U8">
    <cfRule type="cellIs" dxfId="38" priority="26" stopIfTrue="1" operator="greaterThan">
      <formula>$T$105</formula>
    </cfRule>
  </conditionalFormatting>
  <conditionalFormatting sqref="W8:X8">
    <cfRule type="cellIs" dxfId="37" priority="25" stopIfTrue="1" operator="greaterThan">
      <formula>$W$105</formula>
    </cfRule>
  </conditionalFormatting>
  <conditionalFormatting sqref="AL8:AM8">
    <cfRule type="cellIs" dxfId="36" priority="24" stopIfTrue="1" operator="greaterThan">
      <formula>$AL$105</formula>
    </cfRule>
  </conditionalFormatting>
  <conditionalFormatting sqref="AO8:AP8">
    <cfRule type="cellIs" dxfId="35" priority="23" stopIfTrue="1" operator="greaterThan">
      <formula>$AO$105</formula>
    </cfRule>
  </conditionalFormatting>
  <conditionalFormatting sqref="AU8:AV8">
    <cfRule type="cellIs" dxfId="34" priority="22" stopIfTrue="1" operator="greaterThan">
      <formula>$AU$105</formula>
    </cfRule>
  </conditionalFormatting>
  <conditionalFormatting sqref="AQ107:AS107">
    <cfRule type="cellIs" dxfId="33" priority="21" stopIfTrue="1" operator="lessThan">
      <formula>60</formula>
    </cfRule>
  </conditionalFormatting>
  <conditionalFormatting sqref="AQ10:AQ103">
    <cfRule type="cellIs" dxfId="32" priority="20" stopIfTrue="1" operator="lessThan">
      <formula>44</formula>
    </cfRule>
  </conditionalFormatting>
  <conditionalFormatting sqref="AR10:AS103">
    <cfRule type="cellIs" dxfId="31" priority="19" stopIfTrue="1" operator="greaterThan">
      <formula>$AU$105</formula>
    </cfRule>
  </conditionalFormatting>
  <conditionalFormatting sqref="AQ8:AQ9">
    <cfRule type="cellIs" dxfId="30" priority="18" stopIfTrue="1" operator="lessThan">
      <formula>44</formula>
    </cfRule>
  </conditionalFormatting>
  <conditionalFormatting sqref="AR8:AS8">
    <cfRule type="cellIs" dxfId="29" priority="17" stopIfTrue="1" operator="greaterThan">
      <formula>$AU$105</formula>
    </cfRule>
  </conditionalFormatting>
  <conditionalFormatting sqref="AH107:AJ107 Y107:AD107">
    <cfRule type="cellIs" dxfId="28" priority="16" stopIfTrue="1" operator="lessThan">
      <formula>60</formula>
    </cfRule>
  </conditionalFormatting>
  <conditionalFormatting sqref="Y10:Y57">
    <cfRule type="cellIs" dxfId="27" priority="15" stopIfTrue="1" operator="lessThan">
      <formula>44</formula>
    </cfRule>
  </conditionalFormatting>
  <conditionalFormatting sqref="Y10:Y57">
    <cfRule type="cellIs" dxfId="26" priority="14" stopIfTrue="1" operator="lessThan">
      <formula>44</formula>
    </cfRule>
  </conditionalFormatting>
  <conditionalFormatting sqref="Y10:Y103 AB10:AB103 AH10:AH103">
    <cfRule type="cellIs" dxfId="25" priority="13" stopIfTrue="1" operator="lessThan">
      <formula>44</formula>
    </cfRule>
  </conditionalFormatting>
  <conditionalFormatting sqref="AC10:AD103">
    <cfRule type="cellIs" dxfId="24" priority="12" stopIfTrue="1" operator="greaterThan">
      <formula>$AL$105</formula>
    </cfRule>
  </conditionalFormatting>
  <conditionalFormatting sqref="AI10:AJ103">
    <cfRule type="cellIs" dxfId="23" priority="11" stopIfTrue="1" operator="greaterThan">
      <formula>$AU$105</formula>
    </cfRule>
  </conditionalFormatting>
  <conditionalFormatting sqref="Z10:AA103">
    <cfRule type="cellIs" dxfId="22" priority="10" stopIfTrue="1" operator="greaterThan">
      <formula>$AL$105</formula>
    </cfRule>
  </conditionalFormatting>
  <conditionalFormatting sqref="Y8:Y9 AB8:AB9 AH8:AH9">
    <cfRule type="cellIs" dxfId="21" priority="9" stopIfTrue="1" operator="lessThan">
      <formula>44</formula>
    </cfRule>
  </conditionalFormatting>
  <conditionalFormatting sqref="Z8:AA8">
    <cfRule type="cellIs" dxfId="20" priority="8" stopIfTrue="1" operator="greaterThan">
      <formula>$AL$105</formula>
    </cfRule>
  </conditionalFormatting>
  <conditionalFormatting sqref="AC8:AD8">
    <cfRule type="cellIs" dxfId="19" priority="7" stopIfTrue="1" operator="greaterThan">
      <formula>$AO$105</formula>
    </cfRule>
  </conditionalFormatting>
  <conditionalFormatting sqref="AI8:AJ8">
    <cfRule type="cellIs" dxfId="18" priority="6" stopIfTrue="1" operator="greaterThan">
      <formula>$AU$105</formula>
    </cfRule>
  </conditionalFormatting>
  <conditionalFormatting sqref="AE107:AG107">
    <cfRule type="cellIs" dxfId="17" priority="5" stopIfTrue="1" operator="lessThan">
      <formula>60</formula>
    </cfRule>
  </conditionalFormatting>
  <conditionalFormatting sqref="AE10:AE103">
    <cfRule type="cellIs" dxfId="16" priority="4" stopIfTrue="1" operator="lessThan">
      <formula>44</formula>
    </cfRule>
  </conditionalFormatting>
  <conditionalFormatting sqref="AF10:AG103">
    <cfRule type="cellIs" dxfId="15" priority="3" stopIfTrue="1" operator="greaterThan">
      <formula>$AU$105</formula>
    </cfRule>
  </conditionalFormatting>
  <conditionalFormatting sqref="AE8:AE9">
    <cfRule type="cellIs" dxfId="14" priority="2" stopIfTrue="1" operator="lessThan">
      <formula>44</formula>
    </cfRule>
  </conditionalFormatting>
  <conditionalFormatting sqref="AF8:AG8">
    <cfRule type="cellIs" dxfId="13" priority="1" stopIfTrue="1" operator="greaterThan">
      <formula>$AU$105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17" t="s">
        <v>4</v>
      </c>
      <c r="B1" s="318"/>
      <c r="C1" s="1"/>
      <c r="D1" s="315" t="s">
        <v>5</v>
      </c>
      <c r="E1" s="321" t="s">
        <v>6</v>
      </c>
      <c r="F1" s="319" t="s">
        <v>7</v>
      </c>
      <c r="G1" s="317" t="s">
        <v>8</v>
      </c>
      <c r="H1" s="318"/>
      <c r="I1" s="318"/>
      <c r="J1" s="319"/>
      <c r="K1" s="320"/>
      <c r="L1" s="317" t="s">
        <v>9</v>
      </c>
      <c r="M1" s="318"/>
      <c r="N1" s="318"/>
      <c r="O1" s="319"/>
      <c r="P1" s="320"/>
      <c r="Q1" s="317" t="s">
        <v>10</v>
      </c>
      <c r="R1" s="318"/>
      <c r="S1" s="318"/>
      <c r="T1" s="319"/>
      <c r="U1" s="320"/>
      <c r="V1" s="317" t="s">
        <v>11</v>
      </c>
      <c r="W1" s="320"/>
      <c r="X1" s="379" t="s">
        <v>12</v>
      </c>
      <c r="Y1" s="345" t="s">
        <v>13</v>
      </c>
    </row>
    <row r="2" spans="1:28" ht="40.5" customHeight="1" x14ac:dyDescent="0.15">
      <c r="A2" s="353"/>
      <c r="B2" s="354"/>
      <c r="C2" s="29">
        <v>2</v>
      </c>
      <c r="D2" s="316"/>
      <c r="E2" s="322"/>
      <c r="F2" s="32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80"/>
      <c r="Y2" s="346"/>
    </row>
    <row r="3" spans="1:28" ht="15" customHeight="1" x14ac:dyDescent="0.15">
      <c r="A3" s="353" t="s">
        <v>17</v>
      </c>
      <c r="B3" s="354"/>
      <c r="C3" s="376"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53"/>
      <c r="B4" s="354"/>
      <c r="C4" s="377"/>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53"/>
      <c r="B5" s="354"/>
      <c r="C5" s="378"/>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9" t="s">
        <v>18</v>
      </c>
      <c r="B6" s="360"/>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61"/>
      <c r="B7" s="362"/>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61"/>
      <c r="B8" s="362"/>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63"/>
      <c r="B9" s="364"/>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56" t="s">
        <v>19</v>
      </c>
      <c r="B10" s="316"/>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56"/>
      <c r="B11" s="316"/>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56"/>
      <c r="B12" s="316"/>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65" t="s">
        <v>20</v>
      </c>
      <c r="B13" s="366"/>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65"/>
      <c r="B14" s="366"/>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65"/>
      <c r="B15" s="366"/>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55" t="s">
        <v>58</v>
      </c>
      <c r="B16" s="316"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56"/>
      <c r="B17" s="316"/>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56"/>
      <c r="B18" s="316"/>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56"/>
      <c r="B19" s="316"/>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56"/>
      <c r="B20" s="316" t="s">
        <v>22</v>
      </c>
      <c r="C20" s="374"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56"/>
      <c r="B21" s="316"/>
      <c r="C21" s="375"/>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56"/>
      <c r="B22" s="316"/>
      <c r="C22" s="375"/>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56"/>
      <c r="B23" s="316"/>
      <c r="C23" s="375"/>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56"/>
      <c r="B24" s="316"/>
      <c r="C24" s="375"/>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56"/>
      <c r="B25" s="316"/>
      <c r="C25" s="375"/>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56"/>
      <c r="B26" s="316"/>
      <c r="C26" s="322"/>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55" t="s">
        <v>56</v>
      </c>
      <c r="B27" s="316"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56"/>
      <c r="B28" s="316"/>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56"/>
      <c r="B29" s="316"/>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56"/>
      <c r="B30" s="316"/>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56"/>
      <c r="B31" s="316" t="s">
        <v>22</v>
      </c>
      <c r="C31" s="374"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56"/>
      <c r="B32" s="316"/>
      <c r="C32" s="375"/>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56"/>
      <c r="B33" s="316"/>
      <c r="C33" s="375"/>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56"/>
      <c r="B34" s="316"/>
      <c r="C34" s="375"/>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56"/>
      <c r="B35" s="316"/>
      <c r="C35" s="375"/>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56"/>
      <c r="B36" s="316"/>
      <c r="C36" s="375"/>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56"/>
      <c r="B37" s="316"/>
      <c r="C37" s="322"/>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55" t="s">
        <v>62</v>
      </c>
      <c r="B38" s="316"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56"/>
      <c r="B39" s="316"/>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56"/>
      <c r="B40" s="316"/>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56"/>
      <c r="B41" s="316"/>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56"/>
      <c r="B42" s="316" t="s">
        <v>22</v>
      </c>
      <c r="C42" s="374"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56"/>
      <c r="B43" s="316"/>
      <c r="C43" s="375"/>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56"/>
      <c r="B44" s="316"/>
      <c r="C44" s="375"/>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56"/>
      <c r="B45" s="316"/>
      <c r="C45" s="375"/>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56"/>
      <c r="B46" s="316"/>
      <c r="C46" s="375"/>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56"/>
      <c r="B47" s="316"/>
      <c r="C47" s="375"/>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56"/>
      <c r="B48" s="316"/>
      <c r="C48" s="322"/>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7" t="s">
        <v>63</v>
      </c>
      <c r="B49" s="373"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8"/>
      <c r="B50" s="373"/>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8"/>
      <c r="B51" s="373"/>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8"/>
      <c r="B52" s="373"/>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8"/>
      <c r="B53" s="350" t="s">
        <v>24</v>
      </c>
      <c r="C53" s="13"/>
      <c r="D53" s="328" t="s">
        <v>25</v>
      </c>
      <c r="E53" s="329"/>
      <c r="F53" s="329"/>
      <c r="G53" s="338">
        <f>SUM(G3:G52)</f>
        <v>1475</v>
      </c>
      <c r="H53" s="343"/>
      <c r="I53" s="334">
        <f>SUM(I3:I52)</f>
        <v>1310</v>
      </c>
      <c r="J53" s="65"/>
      <c r="K53" s="343"/>
      <c r="L53" s="367">
        <f>SUM(L3:L52)</f>
        <v>1024</v>
      </c>
      <c r="M53" s="341"/>
      <c r="N53" s="341">
        <f>SUM(N3:N52)</f>
        <v>1246</v>
      </c>
      <c r="O53" s="69"/>
      <c r="P53" s="339"/>
      <c r="Q53" s="42"/>
      <c r="R53" s="58"/>
      <c r="S53" s="343">
        <f>SUM(S3:S52)</f>
        <v>1485</v>
      </c>
      <c r="T53" s="73"/>
      <c r="U53" s="43"/>
      <c r="V53" s="336">
        <f>SUM(V3:V52)</f>
        <v>1348.6666666666663</v>
      </c>
      <c r="W53" s="19"/>
      <c r="X53" s="20"/>
      <c r="Y53" s="21"/>
    </row>
    <row r="54" spans="1:25" ht="12" customHeight="1" x14ac:dyDescent="0.15">
      <c r="A54" s="348"/>
      <c r="B54" s="351"/>
      <c r="C54" s="14" t="s">
        <v>28</v>
      </c>
      <c r="D54" s="330"/>
      <c r="E54" s="331"/>
      <c r="F54" s="331"/>
      <c r="G54" s="337"/>
      <c r="H54" s="344"/>
      <c r="I54" s="335"/>
      <c r="J54" s="66"/>
      <c r="K54" s="344"/>
      <c r="L54" s="368"/>
      <c r="M54" s="342"/>
      <c r="N54" s="342"/>
      <c r="O54" s="70"/>
      <c r="P54" s="340"/>
      <c r="Q54" s="44"/>
      <c r="R54" s="59"/>
      <c r="S54" s="344"/>
      <c r="T54" s="74"/>
      <c r="U54" s="45"/>
      <c r="V54" s="337"/>
      <c r="W54" s="22"/>
      <c r="X54" s="23"/>
      <c r="Y54" s="24"/>
    </row>
    <row r="55" spans="1:25" ht="12" customHeight="1" x14ac:dyDescent="0.15">
      <c r="A55" s="348"/>
      <c r="B55" s="351"/>
      <c r="C55" s="14"/>
      <c r="D55" s="324" t="s">
        <v>26</v>
      </c>
      <c r="E55" s="325"/>
      <c r="F55" s="325"/>
      <c r="G55" s="332">
        <f>AVERAGE(G3:G52)</f>
        <v>64.130434782608702</v>
      </c>
      <c r="H55" s="369"/>
      <c r="I55" s="371">
        <f>AVERAGE(I3:I52)</f>
        <v>56.956521739130437</v>
      </c>
      <c r="J55" s="67"/>
      <c r="K55" s="46"/>
      <c r="L55" s="332">
        <f>AVERAGE(L3:L52)</f>
        <v>44.521739130434781</v>
      </c>
      <c r="M55" s="357"/>
      <c r="N55" s="357">
        <f>AVERAGE(N3:N52)</f>
        <v>54.173913043478258</v>
      </c>
      <c r="O55" s="71"/>
      <c r="P55" s="47"/>
      <c r="Q55" s="48"/>
      <c r="R55" s="60"/>
      <c r="S55" s="369">
        <f>AVERAGE(S3:S52)</f>
        <v>64.565217391304344</v>
      </c>
      <c r="T55" s="75"/>
      <c r="U55" s="46"/>
      <c r="V55" s="313">
        <f>AVERAGE(V3:V52)</f>
        <v>58.637681159420275</v>
      </c>
      <c r="W55" s="16"/>
      <c r="X55" s="17"/>
      <c r="Y55" s="18"/>
    </row>
    <row r="56" spans="1:25" ht="12" customHeight="1" thickBot="1" x14ac:dyDescent="0.2">
      <c r="A56" s="349"/>
      <c r="B56" s="352"/>
      <c r="C56" s="25"/>
      <c r="D56" s="326"/>
      <c r="E56" s="327"/>
      <c r="F56" s="327"/>
      <c r="G56" s="333"/>
      <c r="H56" s="370"/>
      <c r="I56" s="372"/>
      <c r="J56" s="68"/>
      <c r="K56" s="49"/>
      <c r="L56" s="333"/>
      <c r="M56" s="358"/>
      <c r="N56" s="358"/>
      <c r="O56" s="72"/>
      <c r="P56" s="49"/>
      <c r="Q56" s="50"/>
      <c r="R56" s="61"/>
      <c r="S56" s="370"/>
      <c r="T56" s="76"/>
      <c r="U56" s="49"/>
      <c r="V56" s="314"/>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C3:C5"/>
    <mergeCell ref="C20:C26"/>
    <mergeCell ref="X1:X2"/>
    <mergeCell ref="V1:W1"/>
    <mergeCell ref="Q1:U1"/>
    <mergeCell ref="A27:A37"/>
    <mergeCell ref="B27:B30"/>
    <mergeCell ref="B31:B37"/>
    <mergeCell ref="B49:B52"/>
    <mergeCell ref="C31:C37"/>
    <mergeCell ref="C42:C48"/>
    <mergeCell ref="H53:H54"/>
    <mergeCell ref="K53:K54"/>
    <mergeCell ref="L53:L54"/>
    <mergeCell ref="H55:H56"/>
    <mergeCell ref="S55:S56"/>
    <mergeCell ref="N55:N56"/>
    <mergeCell ref="I55:I56"/>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79"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3"/>
      <c r="B4" s="384"/>
      <c r="C4" s="388"/>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3"/>
      <c r="B5" s="384"/>
      <c r="C5" s="388"/>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3"/>
      <c r="B6" s="384"/>
      <c r="C6" s="388"/>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5"/>
      <c r="B7" s="386"/>
      <c r="C7" s="389"/>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3" t="s">
        <v>92</v>
      </c>
      <c r="B8" s="384"/>
      <c r="C8" s="387"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3"/>
      <c r="B9" s="384"/>
      <c r="C9" s="388"/>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3"/>
      <c r="B10" s="384"/>
      <c r="C10" s="388"/>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3" t="s">
        <v>19</v>
      </c>
      <c r="B13" s="384"/>
      <c r="C13" s="387">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96" t="s">
        <v>20</v>
      </c>
      <c r="B18" s="397"/>
      <c r="C18" s="429">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96" t="s">
        <v>91</v>
      </c>
      <c r="B23" s="397"/>
      <c r="C23" s="405">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400"/>
      <c r="B37" s="401"/>
      <c r="C37" s="391"/>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8"/>
      <c r="B39" s="399"/>
      <c r="C39" s="406"/>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8"/>
      <c r="B40" s="399"/>
      <c r="C40" s="406"/>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8"/>
      <c r="B41" s="399"/>
      <c r="C41" s="406"/>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400"/>
      <c r="B42" s="401"/>
      <c r="C42" s="391"/>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381" t="s">
        <v>21</v>
      </c>
      <c r="B43" s="402"/>
      <c r="C43" s="405"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3"/>
      <c r="B44" s="403"/>
      <c r="C44" s="406"/>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3"/>
      <c r="B45" s="403"/>
      <c r="C45" s="406"/>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3"/>
      <c r="B46" s="403"/>
      <c r="C46" s="406"/>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3"/>
      <c r="B47" s="403"/>
      <c r="C47" s="406"/>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3"/>
      <c r="B48" s="403"/>
      <c r="C48" s="406"/>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5"/>
      <c r="B49" s="404"/>
      <c r="C49" s="391"/>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07" t="s">
        <v>24</v>
      </c>
      <c r="B50" s="408"/>
      <c r="C50" s="406"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07"/>
      <c r="B51" s="408"/>
      <c r="C51" s="406"/>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07"/>
      <c r="B52" s="408"/>
      <c r="C52" s="406"/>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07"/>
      <c r="B53" s="408"/>
      <c r="C53" s="406"/>
      <c r="D53" s="394" t="s">
        <v>25</v>
      </c>
      <c r="E53" s="394"/>
      <c r="F53" s="394"/>
      <c r="G53" s="113"/>
      <c r="H53" s="113"/>
      <c r="I53" s="113"/>
      <c r="J53" s="113"/>
      <c r="K53" s="113"/>
      <c r="L53" s="113"/>
      <c r="M53" s="113"/>
      <c r="N53" s="113"/>
      <c r="O53" s="114"/>
      <c r="P53" s="114"/>
      <c r="Q53" s="113"/>
      <c r="R53" s="115"/>
    </row>
    <row r="54" spans="1:18" ht="12" customHeight="1" x14ac:dyDescent="0.15">
      <c r="A54" s="407"/>
      <c r="B54" s="408"/>
      <c r="C54" s="406"/>
      <c r="D54" s="395"/>
      <c r="E54" s="395"/>
      <c r="F54" s="395"/>
      <c r="G54" s="116"/>
      <c r="H54" s="116"/>
      <c r="I54" s="116"/>
      <c r="J54" s="116"/>
      <c r="K54" s="116"/>
      <c r="L54" s="116"/>
      <c r="M54" s="116"/>
      <c r="N54" s="116"/>
      <c r="O54" s="116"/>
      <c r="P54" s="116"/>
      <c r="Q54" s="116"/>
      <c r="R54" s="117"/>
    </row>
    <row r="55" spans="1:18" ht="12" customHeight="1" x14ac:dyDescent="0.15">
      <c r="A55" s="407"/>
      <c r="B55" s="408"/>
      <c r="C55" s="406"/>
      <c r="D55" s="392" t="s">
        <v>26</v>
      </c>
      <c r="E55" s="392"/>
      <c r="F55" s="392"/>
      <c r="G55" s="118"/>
      <c r="H55" s="118"/>
      <c r="I55" s="118"/>
      <c r="J55" s="118"/>
      <c r="K55" s="118"/>
      <c r="L55" s="118"/>
      <c r="M55" s="118"/>
      <c r="N55" s="118"/>
      <c r="O55" s="114"/>
      <c r="P55" s="114"/>
      <c r="Q55" s="118"/>
      <c r="R55" s="119"/>
    </row>
    <row r="56" spans="1:18" ht="12" customHeight="1" thickBot="1" x14ac:dyDescent="0.2">
      <c r="A56" s="409"/>
      <c r="B56" s="410"/>
      <c r="C56" s="411"/>
      <c r="D56" s="393"/>
      <c r="E56" s="393"/>
      <c r="F56" s="393"/>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C8:C12"/>
    <mergeCell ref="A13:B17"/>
    <mergeCell ref="A18:B22"/>
    <mergeCell ref="A23:B27"/>
    <mergeCell ref="C23:C27"/>
    <mergeCell ref="C18:C22"/>
    <mergeCell ref="C13:C17"/>
    <mergeCell ref="R1:R2"/>
    <mergeCell ref="G1:N1"/>
    <mergeCell ref="A1:B2"/>
    <mergeCell ref="D1:D2"/>
    <mergeCell ref="E1:E2"/>
    <mergeCell ref="F1:F2"/>
    <mergeCell ref="O1:P1"/>
    <mergeCell ref="Q1:Q2"/>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workbookViewId="0">
      <selection activeCell="O3" sqref="O3"/>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tabSelected="1" view="pageBreakPreview" topLeftCell="F1" zoomScale="130" zoomScaleNormal="100" zoomScaleSheetLayoutView="130" workbookViewId="0">
      <selection activeCell="O3" sqref="O3"/>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3"/>
      <c r="B4" s="384"/>
      <c r="C4" s="388"/>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3"/>
      <c r="B5" s="384"/>
      <c r="C5" s="388"/>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3"/>
      <c r="B6" s="384"/>
      <c r="C6" s="388"/>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5"/>
      <c r="B7" s="386"/>
      <c r="C7" s="389"/>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3" t="s">
        <v>92</v>
      </c>
      <c r="B8" s="384"/>
      <c r="C8" s="387"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3"/>
      <c r="B9" s="384"/>
      <c r="C9" s="388"/>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3"/>
      <c r="B10" s="384"/>
      <c r="C10" s="388"/>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96" t="s">
        <v>20</v>
      </c>
      <c r="B18" s="397"/>
      <c r="C18" s="429">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96" t="s">
        <v>91</v>
      </c>
      <c r="B23" s="397"/>
      <c r="C23" s="405">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400"/>
      <c r="B42" s="401"/>
      <c r="C42" s="391"/>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381" t="s">
        <v>21</v>
      </c>
      <c r="B43" s="402"/>
      <c r="C43" s="405"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3"/>
      <c r="B44" s="403"/>
      <c r="C44" s="406"/>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3"/>
      <c r="B45" s="403"/>
      <c r="C45" s="406"/>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3"/>
      <c r="B46" s="403"/>
      <c r="C46" s="406"/>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3"/>
      <c r="B47" s="403"/>
      <c r="C47" s="406"/>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3"/>
      <c r="B48" s="403"/>
      <c r="C48" s="406"/>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5"/>
      <c r="B49" s="404"/>
      <c r="C49" s="391"/>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07" t="s">
        <v>24</v>
      </c>
      <c r="B50" s="408"/>
      <c r="C50" s="406"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07"/>
      <c r="B51" s="408"/>
      <c r="C51" s="406"/>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07"/>
      <c r="B52" s="408"/>
      <c r="C52" s="406"/>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07"/>
      <c r="B53" s="408"/>
      <c r="C53" s="406"/>
      <c r="D53" s="394" t="s">
        <v>25</v>
      </c>
      <c r="E53" s="394"/>
      <c r="F53" s="394"/>
      <c r="G53" s="126"/>
      <c r="H53" s="126"/>
      <c r="I53" s="126"/>
      <c r="J53" s="126"/>
      <c r="K53" s="126"/>
      <c r="L53" s="126"/>
      <c r="M53" s="126"/>
      <c r="N53" s="126"/>
      <c r="O53" s="114"/>
      <c r="P53" s="114"/>
      <c r="Q53" s="126"/>
      <c r="R53" s="115"/>
    </row>
    <row r="54" spans="1:18" ht="12" customHeight="1" x14ac:dyDescent="0.15">
      <c r="A54" s="407"/>
      <c r="B54" s="408"/>
      <c r="C54" s="406"/>
      <c r="D54" s="395"/>
      <c r="E54" s="395"/>
      <c r="F54" s="395"/>
      <c r="G54" s="127"/>
      <c r="H54" s="127"/>
      <c r="I54" s="127"/>
      <c r="J54" s="127"/>
      <c r="K54" s="127"/>
      <c r="L54" s="127"/>
      <c r="M54" s="127"/>
      <c r="N54" s="127"/>
      <c r="O54" s="127"/>
      <c r="P54" s="127"/>
      <c r="Q54" s="127"/>
      <c r="R54" s="117"/>
    </row>
    <row r="55" spans="1:18" ht="12" customHeight="1" x14ac:dyDescent="0.15">
      <c r="A55" s="407"/>
      <c r="B55" s="408"/>
      <c r="C55" s="406"/>
      <c r="D55" s="392" t="s">
        <v>26</v>
      </c>
      <c r="E55" s="392"/>
      <c r="F55" s="392"/>
      <c r="G55" s="124"/>
      <c r="H55" s="124"/>
      <c r="I55" s="124"/>
      <c r="J55" s="124"/>
      <c r="K55" s="124"/>
      <c r="L55" s="124"/>
      <c r="M55" s="124"/>
      <c r="N55" s="124"/>
      <c r="O55" s="114"/>
      <c r="P55" s="114"/>
      <c r="Q55" s="124"/>
      <c r="R55" s="119"/>
    </row>
    <row r="56" spans="1:18" ht="12" customHeight="1" thickBot="1" x14ac:dyDescent="0.2">
      <c r="A56" s="409"/>
      <c r="B56" s="410"/>
      <c r="C56" s="411"/>
      <c r="D56" s="393"/>
      <c r="E56" s="393"/>
      <c r="F56" s="393"/>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v>19002</v>
      </c>
      <c r="F3" s="87" t="s">
        <v>133</v>
      </c>
      <c r="G3" s="89">
        <f t="shared" ref="G3:G9" ca="1" si="0">ROUND(RAND()*100+1,0)</f>
        <v>93</v>
      </c>
      <c r="H3" s="139">
        <f t="shared" ref="H3:H10" ca="1" si="1">ROUND(RAND()*100+1,0)</f>
        <v>85</v>
      </c>
      <c r="I3" s="89"/>
      <c r="J3" s="89"/>
      <c r="K3" s="89"/>
      <c r="L3" s="89"/>
      <c r="M3" s="89"/>
      <c r="N3" s="93"/>
      <c r="O3" s="99">
        <f t="shared" ref="O3:O52" ca="1" si="2">IF(SUM(G3,I3,,M3)=0,"",AVERAGE(G3,I3,K3,M3))</f>
        <v>93</v>
      </c>
      <c r="P3" s="100">
        <f t="shared" ref="P3:P52" ca="1" si="3">SUM(H3,J3,L3,N3)</f>
        <v>85</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66</v>
      </c>
      <c r="H4" s="80">
        <f t="shared" ca="1" si="1"/>
        <v>64</v>
      </c>
      <c r="I4" s="89"/>
      <c r="J4" s="89"/>
      <c r="K4" s="89"/>
      <c r="L4" s="89"/>
      <c r="M4" s="89"/>
      <c r="N4" s="93"/>
      <c r="O4" s="99">
        <f t="shared" ca="1" si="2"/>
        <v>66</v>
      </c>
      <c r="P4" s="100">
        <f t="shared" ca="1" si="3"/>
        <v>64</v>
      </c>
      <c r="Q4" s="101" t="str">
        <f t="shared" ca="1" si="4"/>
        <v>3</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37</v>
      </c>
      <c r="H5" s="80">
        <f t="shared" ca="1" si="1"/>
        <v>55</v>
      </c>
      <c r="I5" s="89"/>
      <c r="J5" s="89"/>
      <c r="K5" s="89"/>
      <c r="L5" s="89"/>
      <c r="M5" s="89"/>
      <c r="N5" s="93"/>
      <c r="O5" s="99">
        <f t="shared" ca="1" si="2"/>
        <v>37</v>
      </c>
      <c r="P5" s="100">
        <f t="shared" ca="1" si="3"/>
        <v>55</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16</v>
      </c>
      <c r="H6" s="80">
        <f t="shared" ca="1" si="1"/>
        <v>3</v>
      </c>
      <c r="I6" s="89"/>
      <c r="J6" s="89"/>
      <c r="K6" s="89"/>
      <c r="L6" s="89"/>
      <c r="M6" s="89"/>
      <c r="N6" s="93"/>
      <c r="O6" s="99">
        <f t="shared" ca="1" si="2"/>
        <v>16</v>
      </c>
      <c r="P6" s="100">
        <f t="shared" ca="1" si="3"/>
        <v>3</v>
      </c>
      <c r="Q6" s="101" t="str">
        <f t="shared" ca="1" si="4"/>
        <v>1</v>
      </c>
      <c r="R6" s="131" t="str">
        <f t="shared" ca="1" si="5"/>
        <v>再試験</v>
      </c>
      <c r="T6" s="30" t="s">
        <v>66</v>
      </c>
      <c r="AB6" s="129"/>
      <c r="AC6" s="80"/>
      <c r="AD6" s="79"/>
      <c r="AE6" s="77"/>
      <c r="AF6" s="77"/>
    </row>
    <row r="7" spans="1:32" ht="15" customHeight="1" x14ac:dyDescent="0.15">
      <c r="A7" s="385"/>
      <c r="B7" s="386"/>
      <c r="C7" s="389"/>
      <c r="D7" s="111">
        <f t="shared" si="6"/>
        <v>5</v>
      </c>
      <c r="E7" s="82">
        <v>19041</v>
      </c>
      <c r="F7" s="87" t="s">
        <v>137</v>
      </c>
      <c r="G7" s="89">
        <f t="shared" ca="1" si="0"/>
        <v>65</v>
      </c>
      <c r="H7" s="80">
        <f t="shared" ca="1" si="1"/>
        <v>46</v>
      </c>
      <c r="I7" s="89"/>
      <c r="J7" s="89"/>
      <c r="K7" s="89"/>
      <c r="L7" s="89"/>
      <c r="M7" s="89"/>
      <c r="N7" s="93"/>
      <c r="O7" s="99">
        <f t="shared" ca="1" si="2"/>
        <v>65</v>
      </c>
      <c r="P7" s="100">
        <f t="shared" ca="1" si="3"/>
        <v>46</v>
      </c>
      <c r="Q7" s="101" t="str">
        <f t="shared" ca="1" si="4"/>
        <v>3</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 xml:space="preserve">ITP（テクノロジー） </v>
      </c>
      <c r="D8" s="111">
        <f t="shared" si="6"/>
        <v>6</v>
      </c>
      <c r="E8" s="82">
        <v>19052</v>
      </c>
      <c r="F8" s="87" t="s">
        <v>138</v>
      </c>
      <c r="G8" s="89">
        <f t="shared" ca="1" si="0"/>
        <v>15</v>
      </c>
      <c r="H8" s="80">
        <f t="shared" ca="1" si="1"/>
        <v>92</v>
      </c>
      <c r="I8" s="89"/>
      <c r="J8" s="89"/>
      <c r="K8" s="89"/>
      <c r="L8" s="89"/>
      <c r="M8" s="89"/>
      <c r="N8" s="93"/>
      <c r="O8" s="99">
        <f t="shared" ca="1" si="2"/>
        <v>15</v>
      </c>
      <c r="P8" s="100">
        <f t="shared" ca="1" si="3"/>
        <v>92</v>
      </c>
      <c r="Q8" s="101" t="str">
        <f t="shared" ca="1" si="4"/>
        <v>1</v>
      </c>
      <c r="R8" s="131" t="str">
        <f t="shared" ca="1" si="5"/>
        <v>再試験</v>
      </c>
      <c r="T8" s="30"/>
      <c r="U8" s="30" t="s">
        <v>72</v>
      </c>
    </row>
    <row r="9" spans="1:32" ht="15" customHeight="1" x14ac:dyDescent="0.15">
      <c r="A9" s="383"/>
      <c r="B9" s="384"/>
      <c r="C9" s="388"/>
      <c r="D9" s="111">
        <f t="shared" si="6"/>
        <v>7</v>
      </c>
      <c r="E9" s="82">
        <v>19059</v>
      </c>
      <c r="F9" s="87" t="s">
        <v>139</v>
      </c>
      <c r="G9" s="89">
        <f t="shared" ca="1" si="0"/>
        <v>76</v>
      </c>
      <c r="H9" s="80">
        <f t="shared" ca="1" si="1"/>
        <v>78</v>
      </c>
      <c r="I9" s="89"/>
      <c r="J9" s="89"/>
      <c r="K9" s="89"/>
      <c r="L9" s="89"/>
      <c r="M9" s="89"/>
      <c r="N9" s="93"/>
      <c r="O9" s="99">
        <f t="shared" ca="1" si="2"/>
        <v>76</v>
      </c>
      <c r="P9" s="100">
        <f t="shared" ca="1" si="3"/>
        <v>78</v>
      </c>
      <c r="Q9" s="101" t="str">
        <f t="shared" ca="1" si="4"/>
        <v>4</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36</v>
      </c>
      <c r="H10" s="80">
        <f t="shared" ca="1" si="1"/>
        <v>25</v>
      </c>
      <c r="I10" s="89"/>
      <c r="J10" s="89"/>
      <c r="K10" s="89"/>
      <c r="L10" s="89"/>
      <c r="M10" s="89"/>
      <c r="N10" s="93"/>
      <c r="O10" s="99">
        <f t="shared" ca="1" si="2"/>
        <v>36</v>
      </c>
      <c r="P10" s="100">
        <f t="shared" ca="1" si="3"/>
        <v>25</v>
      </c>
      <c r="Q10" s="101" t="str">
        <f t="shared" ca="1" si="4"/>
        <v>1</v>
      </c>
      <c r="R10" s="131" t="str">
        <f t="shared" ca="1" si="5"/>
        <v>再試験</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26.809513236909019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13</v>
      </c>
      <c r="H3" s="139">
        <f t="shared" ref="H3:H10" ca="1" si="1">ROUND(RAND()*100+1,0)</f>
        <v>35</v>
      </c>
      <c r="I3" s="89"/>
      <c r="J3" s="89"/>
      <c r="K3" s="89"/>
      <c r="L3" s="89"/>
      <c r="M3" s="89"/>
      <c r="N3" s="93"/>
      <c r="O3" s="99">
        <f t="shared" ref="O3:O52" ca="1" si="2">IF(SUM(G3,I3,,M3)=0,"",AVERAGE(G3,I3,K3,M3))</f>
        <v>13</v>
      </c>
      <c r="P3" s="100">
        <f t="shared" ref="P3:P52" ca="1" si="3">SUM(H3,J3,L3,N3)</f>
        <v>35</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52</v>
      </c>
      <c r="H4" s="80">
        <f t="shared" ca="1" si="1"/>
        <v>82</v>
      </c>
      <c r="I4" s="89"/>
      <c r="J4" s="89"/>
      <c r="K4" s="89"/>
      <c r="L4" s="89"/>
      <c r="M4" s="89"/>
      <c r="N4" s="93"/>
      <c r="O4" s="99">
        <f t="shared" ca="1" si="2"/>
        <v>52</v>
      </c>
      <c r="P4" s="100">
        <f t="shared" ca="1" si="3"/>
        <v>82</v>
      </c>
      <c r="Q4" s="101" t="str">
        <f t="shared" ca="1" si="4"/>
        <v>3</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27</v>
      </c>
      <c r="H5" s="80">
        <f t="shared" ca="1" si="1"/>
        <v>3</v>
      </c>
      <c r="I5" s="89"/>
      <c r="J5" s="89"/>
      <c r="K5" s="89"/>
      <c r="L5" s="89"/>
      <c r="M5" s="89"/>
      <c r="N5" s="93"/>
      <c r="O5" s="99">
        <f t="shared" ca="1" si="2"/>
        <v>27</v>
      </c>
      <c r="P5" s="100">
        <f t="shared" ca="1" si="3"/>
        <v>3</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45</v>
      </c>
      <c r="H6" s="80">
        <f t="shared" ca="1" si="1"/>
        <v>1</v>
      </c>
      <c r="I6" s="89"/>
      <c r="J6" s="89"/>
      <c r="K6" s="89"/>
      <c r="L6" s="89"/>
      <c r="M6" s="89"/>
      <c r="N6" s="93"/>
      <c r="O6" s="99">
        <f t="shared" ca="1" si="2"/>
        <v>45</v>
      </c>
      <c r="P6" s="100">
        <f t="shared" ca="1" si="3"/>
        <v>1</v>
      </c>
      <c r="Q6" s="101" t="str">
        <f t="shared" ca="1" si="4"/>
        <v>3</v>
      </c>
      <c r="R6" s="131" t="str">
        <f t="shared" ca="1" si="5"/>
        <v/>
      </c>
      <c r="T6" s="30" t="s">
        <v>66</v>
      </c>
      <c r="AB6" s="129"/>
      <c r="AC6" s="80"/>
      <c r="AD6" s="79"/>
      <c r="AE6" s="77"/>
      <c r="AF6" s="77"/>
    </row>
    <row r="7" spans="1:32" ht="15" customHeight="1" x14ac:dyDescent="0.15">
      <c r="A7" s="385"/>
      <c r="B7" s="386"/>
      <c r="C7" s="389"/>
      <c r="D7" s="111">
        <f t="shared" si="6"/>
        <v>5</v>
      </c>
      <c r="E7" s="82">
        <v>19041</v>
      </c>
      <c r="F7" s="87" t="s">
        <v>137</v>
      </c>
      <c r="G7" s="89">
        <f t="shared" ca="1" si="0"/>
        <v>29</v>
      </c>
      <c r="H7" s="80">
        <f t="shared" ca="1" si="1"/>
        <v>2</v>
      </c>
      <c r="I7" s="89"/>
      <c r="J7" s="89"/>
      <c r="K7" s="89"/>
      <c r="L7" s="89"/>
      <c r="M7" s="89"/>
      <c r="N7" s="93"/>
      <c r="O7" s="99">
        <f t="shared" ca="1" si="2"/>
        <v>29</v>
      </c>
      <c r="P7" s="100">
        <f t="shared" ca="1" si="3"/>
        <v>2</v>
      </c>
      <c r="Q7" s="101" t="str">
        <f t="shared" ca="1" si="4"/>
        <v>1</v>
      </c>
      <c r="R7" s="131" t="str">
        <f t="shared" ca="1" si="5"/>
        <v>再試験</v>
      </c>
      <c r="U7" s="30" t="s">
        <v>70</v>
      </c>
      <c r="AB7" s="129"/>
      <c r="AC7" s="80"/>
      <c r="AD7" s="79"/>
      <c r="AE7" s="77"/>
      <c r="AF7" s="77"/>
    </row>
    <row r="8" spans="1:32" ht="15" customHeight="1" x14ac:dyDescent="0.15">
      <c r="A8" s="383" t="s">
        <v>92</v>
      </c>
      <c r="B8" s="384"/>
      <c r="C8" s="387" t="str">
        <f ca="1">RIGHT(CELL("filename",A1),LEN(CELL("filename",A1))-FIND("]",CELL("filename",A1)))</f>
        <v>FP①</v>
      </c>
      <c r="D8" s="111">
        <f t="shared" si="6"/>
        <v>6</v>
      </c>
      <c r="E8" s="82">
        <v>19052</v>
      </c>
      <c r="F8" s="87" t="s">
        <v>138</v>
      </c>
      <c r="G8" s="89">
        <f t="shared" ca="1" si="0"/>
        <v>90</v>
      </c>
      <c r="H8" s="80">
        <f t="shared" ca="1" si="1"/>
        <v>85</v>
      </c>
      <c r="I8" s="89"/>
      <c r="J8" s="89"/>
      <c r="K8" s="89"/>
      <c r="L8" s="89"/>
      <c r="M8" s="89"/>
      <c r="N8" s="93"/>
      <c r="O8" s="99">
        <f t="shared" ca="1" si="2"/>
        <v>90</v>
      </c>
      <c r="P8" s="100">
        <f t="shared" ca="1" si="3"/>
        <v>85</v>
      </c>
      <c r="Q8" s="101" t="str">
        <f t="shared" ca="1" si="4"/>
        <v>5</v>
      </c>
      <c r="R8" s="131" t="str">
        <f t="shared" ca="1" si="5"/>
        <v>補習</v>
      </c>
      <c r="T8" s="30"/>
      <c r="U8" s="30" t="s">
        <v>72</v>
      </c>
    </row>
    <row r="9" spans="1:32" ht="15" customHeight="1" x14ac:dyDescent="0.15">
      <c r="A9" s="383"/>
      <c r="B9" s="384"/>
      <c r="C9" s="388"/>
      <c r="D9" s="111">
        <f t="shared" si="6"/>
        <v>7</v>
      </c>
      <c r="E9" s="82">
        <v>19059</v>
      </c>
      <c r="F9" s="87" t="s">
        <v>139</v>
      </c>
      <c r="G9" s="89">
        <f t="shared" ca="1" si="0"/>
        <v>73</v>
      </c>
      <c r="H9" s="80">
        <f t="shared" ca="1" si="1"/>
        <v>92</v>
      </c>
      <c r="I9" s="89"/>
      <c r="J9" s="89"/>
      <c r="K9" s="89"/>
      <c r="L9" s="89"/>
      <c r="M9" s="89"/>
      <c r="N9" s="93"/>
      <c r="O9" s="99">
        <f t="shared" ca="1" si="2"/>
        <v>73</v>
      </c>
      <c r="P9" s="100">
        <f t="shared" ca="1" si="3"/>
        <v>92</v>
      </c>
      <c r="Q9" s="101" t="str">
        <f t="shared" ca="1" si="4"/>
        <v>4</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96</v>
      </c>
      <c r="H10" s="80">
        <f t="shared" ca="1" si="1"/>
        <v>22</v>
      </c>
      <c r="I10" s="89"/>
      <c r="J10" s="89"/>
      <c r="K10" s="89"/>
      <c r="L10" s="89"/>
      <c r="M10" s="89"/>
      <c r="N10" s="93"/>
      <c r="O10" s="99">
        <f t="shared" ca="1" si="2"/>
        <v>96</v>
      </c>
      <c r="P10" s="100">
        <f t="shared" ca="1" si="3"/>
        <v>22</v>
      </c>
      <c r="Q10" s="101" t="str">
        <f t="shared" ca="1" si="4"/>
        <v>5</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28.580751827060112</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85</v>
      </c>
      <c r="H3" s="139">
        <f t="shared" ref="H3:H10" ca="1" si="1">ROUND(RAND()*100+1,0)</f>
        <v>58</v>
      </c>
      <c r="I3" s="89"/>
      <c r="J3" s="89">
        <v>0</v>
      </c>
      <c r="K3" s="89"/>
      <c r="L3" s="89"/>
      <c r="M3" s="89"/>
      <c r="N3" s="93"/>
      <c r="O3" s="99">
        <f t="shared" ref="O3:O52" ca="1" si="2">IF(SUM(G3,I3,,M3)=0,"",AVERAGE(G3,I3,K3,M3))</f>
        <v>85</v>
      </c>
      <c r="P3" s="100">
        <f t="shared" ref="P3:P52" ca="1" si="3">SUM(H3,J3,L3,N3)</f>
        <v>58</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97</v>
      </c>
      <c r="H4" s="80">
        <f t="shared" ca="1" si="1"/>
        <v>67</v>
      </c>
      <c r="I4" s="89"/>
      <c r="J4" s="89">
        <v>10</v>
      </c>
      <c r="K4" s="89"/>
      <c r="L4" s="89"/>
      <c r="M4" s="89"/>
      <c r="N4" s="93"/>
      <c r="O4" s="99">
        <f t="shared" ca="1" si="2"/>
        <v>97</v>
      </c>
      <c r="P4" s="100">
        <f t="shared" ca="1" si="3"/>
        <v>77</v>
      </c>
      <c r="Q4" s="101" t="str">
        <f t="shared" ca="1" si="4"/>
        <v>5</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31</v>
      </c>
      <c r="H5" s="80">
        <f t="shared" ca="1" si="1"/>
        <v>67</v>
      </c>
      <c r="I5" s="89"/>
      <c r="J5" s="89">
        <v>2</v>
      </c>
      <c r="K5" s="89"/>
      <c r="L5" s="89"/>
      <c r="M5" s="89"/>
      <c r="N5" s="93"/>
      <c r="O5" s="99">
        <f t="shared" ca="1" si="2"/>
        <v>31</v>
      </c>
      <c r="P5" s="100">
        <f t="shared" ca="1" si="3"/>
        <v>69</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40</v>
      </c>
      <c r="H6" s="80">
        <f t="shared" ca="1" si="1"/>
        <v>18</v>
      </c>
      <c r="I6" s="89"/>
      <c r="J6" s="89">
        <v>0</v>
      </c>
      <c r="K6" s="89"/>
      <c r="L6" s="89"/>
      <c r="M6" s="89"/>
      <c r="N6" s="93"/>
      <c r="O6" s="99">
        <f t="shared" ca="1" si="2"/>
        <v>40</v>
      </c>
      <c r="P6" s="100">
        <f t="shared" ca="1" si="3"/>
        <v>18</v>
      </c>
      <c r="Q6" s="101" t="str">
        <f t="shared" ca="1" si="4"/>
        <v>1</v>
      </c>
      <c r="R6" s="131" t="str">
        <f t="shared" ca="1" si="5"/>
        <v>再試験</v>
      </c>
      <c r="T6" s="30" t="s">
        <v>66</v>
      </c>
      <c r="AB6" s="129"/>
      <c r="AC6" s="80"/>
      <c r="AD6" s="79"/>
      <c r="AE6" s="77"/>
      <c r="AF6" s="77"/>
    </row>
    <row r="7" spans="1:32" ht="15" customHeight="1" x14ac:dyDescent="0.15">
      <c r="A7" s="385"/>
      <c r="B7" s="386"/>
      <c r="C7" s="389"/>
      <c r="D7" s="111">
        <f t="shared" si="6"/>
        <v>5</v>
      </c>
      <c r="E7" s="82">
        <v>19041</v>
      </c>
      <c r="F7" s="87" t="s">
        <v>137</v>
      </c>
      <c r="G7" s="89">
        <f t="shared" ca="1" si="0"/>
        <v>87</v>
      </c>
      <c r="H7" s="80">
        <f t="shared" ca="1" si="1"/>
        <v>38</v>
      </c>
      <c r="I7" s="89"/>
      <c r="J7" s="89">
        <v>14</v>
      </c>
      <c r="K7" s="89"/>
      <c r="L7" s="89"/>
      <c r="M7" s="89"/>
      <c r="N7" s="93"/>
      <c r="O7" s="99">
        <f t="shared" ca="1" si="2"/>
        <v>87</v>
      </c>
      <c r="P7" s="100">
        <f t="shared" ca="1" si="3"/>
        <v>52</v>
      </c>
      <c r="Q7" s="101" t="str">
        <f t="shared" ca="1" si="4"/>
        <v>5</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プレゼンテーション</v>
      </c>
      <c r="D8" s="111">
        <f t="shared" si="6"/>
        <v>6</v>
      </c>
      <c r="E8" s="82">
        <v>19052</v>
      </c>
      <c r="F8" s="87" t="s">
        <v>138</v>
      </c>
      <c r="G8" s="89">
        <f t="shared" ca="1" si="0"/>
        <v>76</v>
      </c>
      <c r="H8" s="80">
        <f t="shared" ca="1" si="1"/>
        <v>3</v>
      </c>
      <c r="I8" s="89"/>
      <c r="J8" s="89">
        <v>13</v>
      </c>
      <c r="K8" s="89"/>
      <c r="L8" s="89"/>
      <c r="M8" s="89"/>
      <c r="N8" s="93"/>
      <c r="O8" s="99">
        <f t="shared" ca="1" si="2"/>
        <v>76</v>
      </c>
      <c r="P8" s="100">
        <f t="shared" ca="1" si="3"/>
        <v>16</v>
      </c>
      <c r="Q8" s="101" t="str">
        <f t="shared" ca="1" si="4"/>
        <v>4</v>
      </c>
      <c r="R8" s="131" t="str">
        <f t="shared" ca="1" si="5"/>
        <v>補習</v>
      </c>
      <c r="T8" s="30"/>
      <c r="U8" s="30" t="s">
        <v>72</v>
      </c>
    </row>
    <row r="9" spans="1:32" ht="15" customHeight="1" x14ac:dyDescent="0.15">
      <c r="A9" s="383"/>
      <c r="B9" s="384"/>
      <c r="C9" s="388"/>
      <c r="D9" s="111">
        <f t="shared" si="6"/>
        <v>7</v>
      </c>
      <c r="E9" s="82">
        <v>19059</v>
      </c>
      <c r="F9" s="87" t="s">
        <v>139</v>
      </c>
      <c r="G9" s="89">
        <f t="shared" ca="1" si="0"/>
        <v>3</v>
      </c>
      <c r="H9" s="80">
        <f t="shared" ca="1" si="1"/>
        <v>38</v>
      </c>
      <c r="I9" s="89"/>
      <c r="J9" s="89">
        <v>0</v>
      </c>
      <c r="K9" s="89"/>
      <c r="L9" s="89"/>
      <c r="M9" s="89"/>
      <c r="N9" s="93"/>
      <c r="O9" s="99">
        <f t="shared" ca="1" si="2"/>
        <v>3</v>
      </c>
      <c r="P9" s="100">
        <f t="shared" ca="1" si="3"/>
        <v>38</v>
      </c>
      <c r="Q9" s="101" t="str">
        <f t="shared" ca="1" si="4"/>
        <v>1</v>
      </c>
      <c r="R9" s="131" t="str">
        <f t="shared" ca="1" si="5"/>
        <v>再試験</v>
      </c>
      <c r="T9" s="30"/>
      <c r="AB9" s="129"/>
      <c r="AC9" s="80"/>
      <c r="AD9" s="79"/>
      <c r="AE9" s="77"/>
      <c r="AF9" s="77"/>
    </row>
    <row r="10" spans="1:32" ht="15" customHeight="1" x14ac:dyDescent="0.15">
      <c r="A10" s="383"/>
      <c r="B10" s="384"/>
      <c r="C10" s="388"/>
      <c r="D10" s="111">
        <f t="shared" si="6"/>
        <v>8</v>
      </c>
      <c r="E10" s="82">
        <v>19069</v>
      </c>
      <c r="F10" s="87" t="s">
        <v>140</v>
      </c>
      <c r="G10" s="89">
        <f ca="1">ROUND(RAND()*100+1,0)</f>
        <v>86</v>
      </c>
      <c r="H10" s="80">
        <f t="shared" ca="1" si="1"/>
        <v>100</v>
      </c>
      <c r="I10" s="89"/>
      <c r="J10" s="89">
        <v>0</v>
      </c>
      <c r="K10" s="89"/>
      <c r="L10" s="89"/>
      <c r="M10" s="89"/>
      <c r="N10" s="93"/>
      <c r="O10" s="99">
        <f t="shared" ca="1" si="2"/>
        <v>86</v>
      </c>
      <c r="P10" s="100">
        <f t="shared" ca="1" si="3"/>
        <v>100</v>
      </c>
      <c r="Q10" s="101" t="str">
        <f t="shared" ca="1" si="4"/>
        <v>5</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31.754674852689014</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8</v>
      </c>
      <c r="J3" s="89">
        <f t="shared" ca="1" si="0"/>
        <v>9</v>
      </c>
      <c r="K3" s="89"/>
      <c r="L3" s="89"/>
      <c r="M3" s="89"/>
      <c r="N3" s="93"/>
      <c r="O3" s="99">
        <f t="shared" ref="O3:O52" ca="1" si="1">IF(SUM(G3,I3,,M3)=0,"",AVERAGE(G3,I3,K3,M3))</f>
        <v>8</v>
      </c>
      <c r="P3" s="100">
        <f t="shared" ref="P3:P52" ca="1" si="2">SUM(H3,J3,L3,N3)</f>
        <v>9</v>
      </c>
      <c r="Q3" s="101" t="str">
        <f t="shared" ref="Q3:Q52" ca="1" si="3">IF(O3="","",IF(O3&gt;=85,"5",IF(O3&gt;=70,"4",IF(O3&gt;=45,"3",IF(O3&gt;=44,"2","1")))))</f>
        <v>1</v>
      </c>
      <c r="R3" s="158" t="str">
        <f t="shared" ref="R3:R52" ca="1" si="4">IF(O3&lt;44,"再試験",IF(P3&gt;$D$63,"補習",""))</f>
        <v>再試験</v>
      </c>
      <c r="T3" s="30" t="s">
        <v>96</v>
      </c>
      <c r="AB3" s="153"/>
      <c r="AC3" s="80"/>
      <c r="AD3" s="79"/>
      <c r="AE3" s="77"/>
      <c r="AF3" s="77"/>
    </row>
    <row r="4" spans="1:32" ht="15" customHeight="1" x14ac:dyDescent="0.15">
      <c r="A4" s="383"/>
      <c r="B4" s="384"/>
      <c r="C4" s="388"/>
      <c r="D4" s="111">
        <f t="shared" ref="D4:D52" si="5">D3+1</f>
        <v>2</v>
      </c>
      <c r="E4" s="82">
        <v>19023</v>
      </c>
      <c r="F4" s="87" t="s">
        <v>134</v>
      </c>
      <c r="G4" s="89"/>
      <c r="H4" s="80"/>
      <c r="I4" s="89">
        <f t="shared" ca="1" si="0"/>
        <v>57</v>
      </c>
      <c r="J4" s="89">
        <f t="shared" ca="1" si="0"/>
        <v>98</v>
      </c>
      <c r="K4" s="89"/>
      <c r="L4" s="89"/>
      <c r="M4" s="89"/>
      <c r="N4" s="93"/>
      <c r="O4" s="99">
        <f t="shared" ca="1" si="1"/>
        <v>57</v>
      </c>
      <c r="P4" s="100">
        <f t="shared" ca="1" si="2"/>
        <v>98</v>
      </c>
      <c r="Q4" s="101" t="str">
        <f t="shared" ca="1" si="3"/>
        <v>3</v>
      </c>
      <c r="R4" s="158" t="str">
        <f t="shared" ca="1" si="4"/>
        <v>補習</v>
      </c>
      <c r="T4" s="30" t="s">
        <v>64</v>
      </c>
      <c r="AB4" s="153"/>
      <c r="AC4" s="80"/>
      <c r="AD4" s="79"/>
      <c r="AE4" s="77"/>
      <c r="AF4" s="77"/>
    </row>
    <row r="5" spans="1:32" ht="15" customHeight="1" x14ac:dyDescent="0.15">
      <c r="A5" s="383"/>
      <c r="B5" s="384"/>
      <c r="C5" s="388"/>
      <c r="D5" s="111">
        <f t="shared" si="5"/>
        <v>3</v>
      </c>
      <c r="E5" s="82">
        <v>19028</v>
      </c>
      <c r="F5" s="87" t="s">
        <v>135</v>
      </c>
      <c r="G5" s="89"/>
      <c r="H5" s="80"/>
      <c r="I5" s="89">
        <f t="shared" ca="1" si="0"/>
        <v>17</v>
      </c>
      <c r="J5" s="89">
        <f t="shared" ca="1" si="0"/>
        <v>65</v>
      </c>
      <c r="K5" s="89"/>
      <c r="L5" s="89"/>
      <c r="M5" s="89"/>
      <c r="N5" s="93"/>
      <c r="O5" s="99">
        <f t="shared" ca="1" si="1"/>
        <v>17</v>
      </c>
      <c r="P5" s="100">
        <f t="shared" ca="1" si="2"/>
        <v>65</v>
      </c>
      <c r="Q5" s="101" t="str">
        <f t="shared" ca="1" si="3"/>
        <v>1</v>
      </c>
      <c r="R5" s="158" t="str">
        <f t="shared" ca="1" si="4"/>
        <v>再試験</v>
      </c>
      <c r="T5" s="30" t="s">
        <v>65</v>
      </c>
      <c r="AB5" s="153"/>
      <c r="AC5" s="80"/>
      <c r="AD5" s="79"/>
      <c r="AE5" s="77"/>
      <c r="AF5" s="77"/>
    </row>
    <row r="6" spans="1:32" ht="15" customHeight="1" x14ac:dyDescent="0.15">
      <c r="A6" s="383"/>
      <c r="B6" s="384"/>
      <c r="C6" s="388"/>
      <c r="D6" s="111">
        <f t="shared" si="5"/>
        <v>4</v>
      </c>
      <c r="E6" s="82">
        <v>19038</v>
      </c>
      <c r="F6" s="87" t="s">
        <v>136</v>
      </c>
      <c r="G6" s="89"/>
      <c r="H6" s="80"/>
      <c r="I6" s="89">
        <f t="shared" ca="1" si="0"/>
        <v>47</v>
      </c>
      <c r="J6" s="89">
        <f t="shared" ca="1" si="0"/>
        <v>81</v>
      </c>
      <c r="K6" s="89"/>
      <c r="L6" s="89"/>
      <c r="M6" s="89"/>
      <c r="N6" s="93"/>
      <c r="O6" s="99">
        <f t="shared" ca="1" si="1"/>
        <v>47</v>
      </c>
      <c r="P6" s="100">
        <f t="shared" ca="1" si="2"/>
        <v>81</v>
      </c>
      <c r="Q6" s="101" t="str">
        <f t="shared" ca="1" si="3"/>
        <v>3</v>
      </c>
      <c r="R6" s="158" t="str">
        <f t="shared" ca="1" si="4"/>
        <v>補習</v>
      </c>
      <c r="T6" s="30" t="s">
        <v>66</v>
      </c>
      <c r="AB6" s="153"/>
      <c r="AC6" s="80"/>
      <c r="AD6" s="79"/>
      <c r="AE6" s="77"/>
      <c r="AF6" s="77"/>
    </row>
    <row r="7" spans="1:32" ht="15" customHeight="1" x14ac:dyDescent="0.15">
      <c r="A7" s="385"/>
      <c r="B7" s="386"/>
      <c r="C7" s="389"/>
      <c r="D7" s="111">
        <f t="shared" si="5"/>
        <v>5</v>
      </c>
      <c r="E7" s="82">
        <v>19041</v>
      </c>
      <c r="F7" s="87" t="s">
        <v>137</v>
      </c>
      <c r="G7" s="89"/>
      <c r="H7" s="80"/>
      <c r="I7" s="89">
        <f t="shared" ca="1" si="0"/>
        <v>74</v>
      </c>
      <c r="J7" s="89">
        <f t="shared" ca="1" si="0"/>
        <v>66</v>
      </c>
      <c r="K7" s="89"/>
      <c r="L7" s="89"/>
      <c r="M7" s="89"/>
      <c r="N7" s="93"/>
      <c r="O7" s="99">
        <f t="shared" ca="1" si="1"/>
        <v>74</v>
      </c>
      <c r="P7" s="100">
        <f t="shared" ca="1" si="2"/>
        <v>66</v>
      </c>
      <c r="Q7" s="101" t="str">
        <f t="shared" ca="1" si="3"/>
        <v>4</v>
      </c>
      <c r="R7" s="158" t="str">
        <f t="shared" ca="1" si="4"/>
        <v>補習</v>
      </c>
      <c r="U7" s="30" t="s">
        <v>70</v>
      </c>
      <c r="AB7" s="153"/>
      <c r="AC7" s="80"/>
      <c r="AD7" s="79"/>
      <c r="AE7" s="77"/>
      <c r="AF7" s="77"/>
    </row>
    <row r="8" spans="1:32" ht="15" customHeight="1" x14ac:dyDescent="0.15">
      <c r="A8" s="383" t="s">
        <v>92</v>
      </c>
      <c r="B8" s="384"/>
      <c r="C8" s="387" t="str">
        <f ca="1">RIGHT(CELL("filename",A1),LEN(CELL("filename",A1))-FIND("]",CELL("filename",A1)))</f>
        <v>FP②</v>
      </c>
      <c r="D8" s="111">
        <f t="shared" si="5"/>
        <v>6</v>
      </c>
      <c r="E8" s="82">
        <v>19052</v>
      </c>
      <c r="F8" s="87" t="s">
        <v>138</v>
      </c>
      <c r="G8" s="89"/>
      <c r="H8" s="80"/>
      <c r="I8" s="89">
        <f t="shared" ca="1" si="0"/>
        <v>58</v>
      </c>
      <c r="J8" s="89">
        <f t="shared" ca="1" si="0"/>
        <v>4</v>
      </c>
      <c r="K8" s="89"/>
      <c r="L8" s="89"/>
      <c r="M8" s="89"/>
      <c r="N8" s="93"/>
      <c r="O8" s="99">
        <f t="shared" ca="1" si="1"/>
        <v>58</v>
      </c>
      <c r="P8" s="100">
        <f t="shared" ca="1" si="2"/>
        <v>4</v>
      </c>
      <c r="Q8" s="101" t="str">
        <f t="shared" ca="1" si="3"/>
        <v>3</v>
      </c>
      <c r="R8" s="158" t="str">
        <f t="shared" ca="1" si="4"/>
        <v/>
      </c>
      <c r="T8" s="30"/>
      <c r="U8" s="30" t="s">
        <v>72</v>
      </c>
    </row>
    <row r="9" spans="1:32" ht="15" customHeight="1" x14ac:dyDescent="0.15">
      <c r="A9" s="383"/>
      <c r="B9" s="384"/>
      <c r="C9" s="388"/>
      <c r="D9" s="111">
        <f t="shared" si="5"/>
        <v>7</v>
      </c>
      <c r="E9" s="82">
        <v>19059</v>
      </c>
      <c r="F9" s="87" t="s">
        <v>139</v>
      </c>
      <c r="G9" s="89"/>
      <c r="H9" s="80"/>
      <c r="I9" s="89">
        <f t="shared" ca="1" si="0"/>
        <v>12</v>
      </c>
      <c r="J9" s="89">
        <f t="shared" ca="1" si="0"/>
        <v>33</v>
      </c>
      <c r="K9" s="89"/>
      <c r="L9" s="89"/>
      <c r="M9" s="89"/>
      <c r="N9" s="93"/>
      <c r="O9" s="99">
        <f t="shared" ca="1" si="1"/>
        <v>12</v>
      </c>
      <c r="P9" s="100">
        <f t="shared" ca="1" si="2"/>
        <v>33</v>
      </c>
      <c r="Q9" s="101" t="str">
        <f t="shared" ca="1" si="3"/>
        <v>1</v>
      </c>
      <c r="R9" s="158" t="str">
        <f t="shared" ca="1" si="4"/>
        <v>再試験</v>
      </c>
      <c r="T9" s="30"/>
      <c r="AB9" s="153"/>
      <c r="AC9" s="80"/>
      <c r="AD9" s="79"/>
      <c r="AE9" s="77"/>
      <c r="AF9" s="77"/>
    </row>
    <row r="10" spans="1:32" ht="15" customHeight="1" x14ac:dyDescent="0.15">
      <c r="A10" s="383"/>
      <c r="B10" s="384"/>
      <c r="C10" s="388"/>
      <c r="D10" s="111">
        <f t="shared" si="5"/>
        <v>8</v>
      </c>
      <c r="E10" s="82">
        <v>19069</v>
      </c>
      <c r="F10" s="87" t="s">
        <v>140</v>
      </c>
      <c r="G10" s="89"/>
      <c r="H10" s="80"/>
      <c r="I10" s="89">
        <f t="shared" ca="1" si="0"/>
        <v>72</v>
      </c>
      <c r="J10" s="89">
        <f t="shared" ca="1" si="0"/>
        <v>14</v>
      </c>
      <c r="K10" s="89"/>
      <c r="L10" s="89"/>
      <c r="M10" s="89"/>
      <c r="N10" s="93"/>
      <c r="O10" s="99">
        <f t="shared" ca="1" si="1"/>
        <v>72</v>
      </c>
      <c r="P10" s="100">
        <f t="shared" ca="1" si="2"/>
        <v>14</v>
      </c>
      <c r="Q10" s="101" t="str">
        <f t="shared" ca="1" si="3"/>
        <v>4</v>
      </c>
      <c r="R10" s="158" t="str">
        <f t="shared" ca="1" si="4"/>
        <v>補習</v>
      </c>
      <c r="T10" s="30"/>
      <c r="U10" s="30" t="s">
        <v>71</v>
      </c>
      <c r="AB10" s="153"/>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96" t="s">
        <v>91</v>
      </c>
      <c r="B23" s="397"/>
      <c r="C23" s="405">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400"/>
      <c r="B42" s="401"/>
      <c r="C42" s="391"/>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381" t="s">
        <v>21</v>
      </c>
      <c r="B43" s="402"/>
      <c r="C43" s="405"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3"/>
      <c r="B44" s="403"/>
      <c r="C44" s="406"/>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3"/>
      <c r="B45" s="403"/>
      <c r="C45" s="406"/>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3"/>
      <c r="B46" s="403"/>
      <c r="C46" s="406"/>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3"/>
      <c r="B47" s="403"/>
      <c r="C47" s="406"/>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3"/>
      <c r="B48" s="403"/>
      <c r="C48" s="406"/>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5"/>
      <c r="B49" s="404"/>
      <c r="C49" s="391"/>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07" t="s">
        <v>24</v>
      </c>
      <c r="B50" s="408"/>
      <c r="C50" s="406"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07"/>
      <c r="B51" s="408"/>
      <c r="C51" s="406"/>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07"/>
      <c r="B52" s="408"/>
      <c r="C52" s="406"/>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07"/>
      <c r="B53" s="408"/>
      <c r="C53" s="406"/>
      <c r="D53" s="394" t="s">
        <v>25</v>
      </c>
      <c r="E53" s="394"/>
      <c r="F53" s="394"/>
      <c r="G53" s="156"/>
      <c r="H53" s="156"/>
      <c r="I53" s="156"/>
      <c r="J53" s="156"/>
      <c r="K53" s="156"/>
      <c r="L53" s="156"/>
      <c r="M53" s="156"/>
      <c r="N53" s="156"/>
      <c r="O53" s="114"/>
      <c r="P53" s="114"/>
      <c r="Q53" s="156"/>
      <c r="R53" s="115"/>
    </row>
    <row r="54" spans="1:18" ht="12" customHeight="1" x14ac:dyDescent="0.15">
      <c r="A54" s="407"/>
      <c r="B54" s="408"/>
      <c r="C54" s="406"/>
      <c r="D54" s="395"/>
      <c r="E54" s="395"/>
      <c r="F54" s="395"/>
      <c r="G54" s="157"/>
      <c r="H54" s="157"/>
      <c r="I54" s="157"/>
      <c r="J54" s="157"/>
      <c r="K54" s="157"/>
      <c r="L54" s="157"/>
      <c r="M54" s="157"/>
      <c r="N54" s="157"/>
      <c r="O54" s="157"/>
      <c r="P54" s="157"/>
      <c r="Q54" s="157"/>
      <c r="R54" s="117"/>
    </row>
    <row r="55" spans="1:18" ht="12" customHeight="1" x14ac:dyDescent="0.15">
      <c r="A55" s="407"/>
      <c r="B55" s="408"/>
      <c r="C55" s="406"/>
      <c r="D55" s="392" t="s">
        <v>26</v>
      </c>
      <c r="E55" s="392"/>
      <c r="F55" s="392"/>
      <c r="G55" s="154"/>
      <c r="H55" s="154"/>
      <c r="I55" s="154"/>
      <c r="J55" s="154"/>
      <c r="K55" s="154"/>
      <c r="L55" s="154"/>
      <c r="M55" s="154"/>
      <c r="N55" s="154"/>
      <c r="O55" s="114"/>
      <c r="P55" s="114"/>
      <c r="Q55" s="154"/>
      <c r="R55" s="119"/>
    </row>
    <row r="56" spans="1:18" ht="12" customHeight="1" thickBot="1" x14ac:dyDescent="0.2">
      <c r="A56" s="409"/>
      <c r="B56" s="410"/>
      <c r="C56" s="411"/>
      <c r="D56" s="393"/>
      <c r="E56" s="393"/>
      <c r="F56" s="393"/>
      <c r="G56" s="155"/>
      <c r="H56" s="155"/>
      <c r="I56" s="155"/>
      <c r="J56" s="155"/>
      <c r="K56" s="155"/>
      <c r="L56" s="155"/>
      <c r="M56" s="155"/>
      <c r="N56" s="155"/>
      <c r="O56" s="155"/>
      <c r="P56" s="155"/>
      <c r="Q56" s="155"/>
      <c r="R56" s="121"/>
    </row>
    <row r="58" spans="1:18" x14ac:dyDescent="0.15">
      <c r="C58" s="2" t="s">
        <v>89</v>
      </c>
      <c r="D58" s="97" t="s">
        <v>90</v>
      </c>
      <c r="O58" s="2">
        <f ca="1">_xlfn.STDEV.P(O3:O52)</f>
        <v>25.250928200761255</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6</v>
      </c>
      <c r="J3" s="89">
        <f t="shared" ca="1" si="0"/>
        <v>97</v>
      </c>
      <c r="K3" s="89"/>
      <c r="L3" s="89"/>
      <c r="M3" s="89"/>
      <c r="N3" s="93"/>
      <c r="O3" s="99">
        <f t="shared" ref="O3:O52" ca="1" si="1">IF(SUM(G3,I3,,M3)=0,"",AVERAGE(G3,I3,K3,M3))</f>
        <v>6</v>
      </c>
      <c r="P3" s="100">
        <f t="shared" ref="P3:P52" ca="1" si="2">SUM(H3,J3,L3,N3)</f>
        <v>97</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3"/>
      <c r="B4" s="384"/>
      <c r="C4" s="388"/>
      <c r="D4" s="111">
        <f t="shared" ref="D4:D52" si="5">D3+1</f>
        <v>2</v>
      </c>
      <c r="E4" s="82">
        <v>19023</v>
      </c>
      <c r="F4" s="166" t="s">
        <v>134</v>
      </c>
      <c r="G4" s="89"/>
      <c r="H4" s="80"/>
      <c r="I4" s="89">
        <f t="shared" ca="1" si="0"/>
        <v>15</v>
      </c>
      <c r="J4" s="89">
        <f t="shared" ca="1" si="0"/>
        <v>36</v>
      </c>
      <c r="K4" s="89"/>
      <c r="L4" s="89"/>
      <c r="M4" s="89"/>
      <c r="N4" s="93"/>
      <c r="O4" s="99">
        <f t="shared" ca="1" si="1"/>
        <v>15</v>
      </c>
      <c r="P4" s="100">
        <f t="shared" ca="1" si="2"/>
        <v>36</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31</v>
      </c>
      <c r="J5" s="89">
        <f t="shared" ca="1" si="0"/>
        <v>41</v>
      </c>
      <c r="K5" s="89"/>
      <c r="L5" s="89"/>
      <c r="M5" s="89"/>
      <c r="N5" s="93"/>
      <c r="O5" s="99">
        <f t="shared" ca="1" si="1"/>
        <v>31</v>
      </c>
      <c r="P5" s="100">
        <f t="shared" ca="1" si="2"/>
        <v>41</v>
      </c>
      <c r="Q5" s="101" t="str">
        <f t="shared" ca="1" si="3"/>
        <v>1</v>
      </c>
      <c r="R5" s="147" t="str">
        <f t="shared" ca="1" si="4"/>
        <v>再試験</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17</v>
      </c>
      <c r="J6" s="89">
        <f t="shared" ca="1" si="0"/>
        <v>55</v>
      </c>
      <c r="K6" s="89"/>
      <c r="L6" s="89"/>
      <c r="M6" s="89"/>
      <c r="N6" s="93"/>
      <c r="O6" s="99">
        <f t="shared" ca="1" si="1"/>
        <v>17</v>
      </c>
      <c r="P6" s="100">
        <f t="shared" ca="1" si="2"/>
        <v>55</v>
      </c>
      <c r="Q6" s="101" t="str">
        <f t="shared" ca="1" si="3"/>
        <v>1</v>
      </c>
      <c r="R6" s="147" t="str">
        <f t="shared" ca="1" si="4"/>
        <v>再試験</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52</v>
      </c>
      <c r="J7" s="89">
        <f t="shared" ca="1" si="0"/>
        <v>12</v>
      </c>
      <c r="K7" s="89"/>
      <c r="L7" s="89"/>
      <c r="M7" s="89"/>
      <c r="N7" s="93"/>
      <c r="O7" s="99">
        <f t="shared" ca="1" si="1"/>
        <v>52</v>
      </c>
      <c r="P7" s="100">
        <f t="shared" ca="1" si="2"/>
        <v>12</v>
      </c>
      <c r="Q7" s="101" t="str">
        <f t="shared" ca="1" si="3"/>
        <v>3</v>
      </c>
      <c r="R7" s="147" t="str">
        <f t="shared" ca="1" si="4"/>
        <v/>
      </c>
      <c r="U7" s="30" t="s">
        <v>70</v>
      </c>
      <c r="AB7" s="145"/>
      <c r="AC7" s="80"/>
      <c r="AD7" s="79"/>
      <c r="AE7" s="77"/>
      <c r="AF7" s="77"/>
    </row>
    <row r="8" spans="1:32" ht="15" customHeight="1" x14ac:dyDescent="0.15">
      <c r="A8" s="383" t="s">
        <v>92</v>
      </c>
      <c r="B8" s="384"/>
      <c r="C8" s="387" t="str">
        <f ca="1">RIGHT(CELL("filename",A1),LEN(CELL("filename",A1))-FIND("]",CELL("filename",A1)))</f>
        <v>PowerPoint</v>
      </c>
      <c r="D8" s="111">
        <f t="shared" si="5"/>
        <v>6</v>
      </c>
      <c r="E8" s="82">
        <v>19052</v>
      </c>
      <c r="F8" s="87" t="s">
        <v>138</v>
      </c>
      <c r="G8" s="89"/>
      <c r="H8" s="80"/>
      <c r="I8" s="89">
        <f t="shared" ca="1" si="0"/>
        <v>68</v>
      </c>
      <c r="J8" s="89">
        <f t="shared" ca="1" si="0"/>
        <v>46</v>
      </c>
      <c r="K8" s="89"/>
      <c r="L8" s="89"/>
      <c r="M8" s="89"/>
      <c r="N8" s="93"/>
      <c r="O8" s="99">
        <v>70</v>
      </c>
      <c r="P8" s="100">
        <f t="shared" ca="1" si="2"/>
        <v>46</v>
      </c>
      <c r="Q8" s="101" t="str">
        <f t="shared" si="3"/>
        <v>4</v>
      </c>
      <c r="R8" s="147" t="str">
        <f t="shared" ca="1" si="4"/>
        <v>補習</v>
      </c>
      <c r="T8" s="30"/>
      <c r="U8" s="30" t="s">
        <v>72</v>
      </c>
    </row>
    <row r="9" spans="1:32" ht="15" customHeight="1" x14ac:dyDescent="0.15">
      <c r="A9" s="383"/>
      <c r="B9" s="384"/>
      <c r="C9" s="388"/>
      <c r="D9" s="111">
        <f t="shared" si="5"/>
        <v>7</v>
      </c>
      <c r="E9" s="82">
        <v>19059</v>
      </c>
      <c r="F9" s="87" t="s">
        <v>139</v>
      </c>
      <c r="G9" s="89"/>
      <c r="H9" s="80"/>
      <c r="I9" s="89">
        <f t="shared" ca="1" si="0"/>
        <v>74</v>
      </c>
      <c r="J9" s="89">
        <f t="shared" ca="1" si="0"/>
        <v>31</v>
      </c>
      <c r="K9" s="89"/>
      <c r="L9" s="89"/>
      <c r="M9" s="89"/>
      <c r="N9" s="93"/>
      <c r="O9" s="99">
        <f t="shared" ca="1" si="1"/>
        <v>74</v>
      </c>
      <c r="P9" s="100">
        <f t="shared" ca="1" si="2"/>
        <v>31</v>
      </c>
      <c r="Q9" s="101" t="str">
        <f t="shared" ca="1" si="3"/>
        <v>4</v>
      </c>
      <c r="R9" s="147" t="str">
        <f t="shared" ca="1" si="4"/>
        <v>補習</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48</v>
      </c>
      <c r="J10" s="89">
        <f t="shared" ca="1" si="0"/>
        <v>9</v>
      </c>
      <c r="K10" s="89"/>
      <c r="L10" s="89"/>
      <c r="M10" s="89"/>
      <c r="N10" s="93"/>
      <c r="O10" s="99">
        <f t="shared" ca="1" si="1"/>
        <v>48</v>
      </c>
      <c r="P10" s="100">
        <f t="shared" ca="1" si="2"/>
        <v>9</v>
      </c>
      <c r="Q10" s="101" t="str">
        <f t="shared" ca="1" si="3"/>
        <v>3</v>
      </c>
      <c r="R10" s="147" t="str">
        <f t="shared" ca="1" si="4"/>
        <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24.106210299422845</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18</v>
      </c>
      <c r="J3" s="89">
        <f t="shared" ca="1" si="0"/>
        <v>39</v>
      </c>
      <c r="K3" s="89"/>
      <c r="L3" s="89"/>
      <c r="M3" s="89"/>
      <c r="N3" s="93"/>
      <c r="O3" s="99">
        <f t="shared" ref="O3:O52" ca="1" si="1">IF(SUM(G3,I3,,M3)=0,"",AVERAGE(G3,I3,K3,M3))</f>
        <v>18</v>
      </c>
      <c r="P3" s="100">
        <f t="shared" ref="P3:P52" ca="1" si="2">SUM(H3,J3,L3,N3)</f>
        <v>39</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3"/>
      <c r="B4" s="384"/>
      <c r="C4" s="388"/>
      <c r="D4" s="111">
        <f t="shared" ref="D4:D52" si="5">D3+1</f>
        <v>2</v>
      </c>
      <c r="E4" s="82">
        <v>19023</v>
      </c>
      <c r="F4" s="87" t="s">
        <v>134</v>
      </c>
      <c r="G4" s="89"/>
      <c r="H4" s="80"/>
      <c r="I4" s="89">
        <f t="shared" ca="1" si="0"/>
        <v>10</v>
      </c>
      <c r="J4" s="89">
        <f t="shared" ca="1" si="0"/>
        <v>49</v>
      </c>
      <c r="K4" s="89"/>
      <c r="L4" s="89"/>
      <c r="M4" s="89"/>
      <c r="N4" s="93"/>
      <c r="O4" s="99">
        <f t="shared" ca="1" si="1"/>
        <v>10</v>
      </c>
      <c r="P4" s="100">
        <f t="shared" ca="1" si="2"/>
        <v>49</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v>98</v>
      </c>
      <c r="H5" s="80">
        <v>0</v>
      </c>
      <c r="I5" s="89">
        <f t="shared" ca="1" si="0"/>
        <v>15</v>
      </c>
      <c r="J5" s="89">
        <f t="shared" ca="1" si="0"/>
        <v>28</v>
      </c>
      <c r="K5" s="89"/>
      <c r="L5" s="89"/>
      <c r="M5" s="89"/>
      <c r="N5" s="93"/>
      <c r="O5" s="99">
        <f t="shared" ca="1" si="1"/>
        <v>56.5</v>
      </c>
      <c r="P5" s="100">
        <f t="shared" ca="1" si="2"/>
        <v>28</v>
      </c>
      <c r="Q5" s="101" t="str">
        <f t="shared" ca="1" si="3"/>
        <v>3</v>
      </c>
      <c r="R5" s="147" t="str">
        <f t="shared" ca="1" si="4"/>
        <v/>
      </c>
      <c r="T5" s="30" t="s">
        <v>65</v>
      </c>
      <c r="AB5" s="145"/>
      <c r="AC5" s="80"/>
      <c r="AD5" s="79"/>
      <c r="AE5" s="77"/>
      <c r="AF5" s="77"/>
    </row>
    <row r="6" spans="1:32" ht="15" customHeight="1" x14ac:dyDescent="0.15">
      <c r="A6" s="383"/>
      <c r="B6" s="384"/>
      <c r="C6" s="388"/>
      <c r="D6" s="111">
        <f t="shared" si="5"/>
        <v>4</v>
      </c>
      <c r="E6" s="82">
        <v>19038</v>
      </c>
      <c r="F6" s="87" t="s">
        <v>136</v>
      </c>
      <c r="G6" s="89">
        <v>88</v>
      </c>
      <c r="H6" s="80">
        <v>0</v>
      </c>
      <c r="I6" s="89">
        <f t="shared" ca="1" si="0"/>
        <v>53</v>
      </c>
      <c r="J6" s="89">
        <f t="shared" ca="1" si="0"/>
        <v>59</v>
      </c>
      <c r="K6" s="89"/>
      <c r="L6" s="89"/>
      <c r="M6" s="89"/>
      <c r="N6" s="93"/>
      <c r="O6" s="99">
        <f t="shared" ca="1" si="1"/>
        <v>70.5</v>
      </c>
      <c r="P6" s="100">
        <f t="shared" ca="1" si="2"/>
        <v>59</v>
      </c>
      <c r="Q6" s="101" t="str">
        <f t="shared" ca="1" si="3"/>
        <v>4</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v>60</v>
      </c>
      <c r="H7" s="80">
        <v>12</v>
      </c>
      <c r="I7" s="89">
        <f t="shared" ca="1" si="0"/>
        <v>38</v>
      </c>
      <c r="J7" s="89">
        <f t="shared" ca="1" si="0"/>
        <v>95</v>
      </c>
      <c r="K7" s="89"/>
      <c r="L7" s="89"/>
      <c r="M7" s="89"/>
      <c r="N7" s="93"/>
      <c r="O7" s="99">
        <f t="shared" ca="1" si="1"/>
        <v>49</v>
      </c>
      <c r="P7" s="100">
        <f t="shared" ca="1" si="2"/>
        <v>107</v>
      </c>
      <c r="Q7" s="101" t="str">
        <f t="shared" ca="1" si="3"/>
        <v>3</v>
      </c>
      <c r="R7" s="147" t="str">
        <f t="shared" ca="1" si="4"/>
        <v>補習</v>
      </c>
      <c r="U7" s="30" t="s">
        <v>70</v>
      </c>
      <c r="AB7" s="145"/>
      <c r="AC7" s="80"/>
      <c r="AD7" s="79"/>
      <c r="AE7" s="77"/>
      <c r="AF7" s="77"/>
    </row>
    <row r="8" spans="1:32" ht="15" customHeight="1" x14ac:dyDescent="0.15">
      <c r="A8" s="383" t="s">
        <v>92</v>
      </c>
      <c r="B8" s="384"/>
      <c r="C8" s="387" t="str">
        <f ca="1">RIGHT(CELL("filename",A1),LEN(CELL("filename",A1))-FIND("]",CELL("filename",A1)))</f>
        <v>WEBデザイン演習</v>
      </c>
      <c r="D8" s="111">
        <f t="shared" si="5"/>
        <v>6</v>
      </c>
      <c r="E8" s="82">
        <v>19052</v>
      </c>
      <c r="F8" s="87" t="s">
        <v>138</v>
      </c>
      <c r="G8" s="89">
        <v>68</v>
      </c>
      <c r="H8" s="80">
        <v>9</v>
      </c>
      <c r="I8" s="89">
        <f t="shared" ca="1" si="0"/>
        <v>16</v>
      </c>
      <c r="J8" s="89">
        <f t="shared" ca="1" si="0"/>
        <v>41</v>
      </c>
      <c r="K8" s="89"/>
      <c r="L8" s="89"/>
      <c r="M8" s="89"/>
      <c r="N8" s="93"/>
      <c r="O8" s="99">
        <f t="shared" ca="1" si="1"/>
        <v>42</v>
      </c>
      <c r="P8" s="100">
        <f t="shared" ca="1" si="2"/>
        <v>50</v>
      </c>
      <c r="Q8" s="101" t="str">
        <f t="shared" ca="1" si="3"/>
        <v>1</v>
      </c>
      <c r="R8" s="147" t="str">
        <f t="shared" ca="1" si="4"/>
        <v>再試験</v>
      </c>
      <c r="T8" s="30"/>
      <c r="U8" s="30" t="s">
        <v>72</v>
      </c>
    </row>
    <row r="9" spans="1:32" ht="15" customHeight="1" x14ac:dyDescent="0.15">
      <c r="A9" s="383"/>
      <c r="B9" s="384"/>
      <c r="C9" s="388"/>
      <c r="D9" s="111">
        <f t="shared" si="5"/>
        <v>7</v>
      </c>
      <c r="E9" s="82">
        <v>19059</v>
      </c>
      <c r="F9" s="87" t="s">
        <v>139</v>
      </c>
      <c r="G9" s="89"/>
      <c r="H9" s="80"/>
      <c r="I9" s="89">
        <f t="shared" ca="1" si="0"/>
        <v>58</v>
      </c>
      <c r="J9" s="89">
        <f t="shared" ca="1" si="0"/>
        <v>37</v>
      </c>
      <c r="K9" s="89"/>
      <c r="L9" s="89"/>
      <c r="M9" s="89"/>
      <c r="N9" s="93"/>
      <c r="O9" s="99">
        <f t="shared" ca="1" si="1"/>
        <v>58</v>
      </c>
      <c r="P9" s="100">
        <f t="shared" ca="1" si="2"/>
        <v>37</v>
      </c>
      <c r="Q9" s="101" t="str">
        <f t="shared" ca="1" si="3"/>
        <v>3</v>
      </c>
      <c r="R9" s="147" t="str">
        <f t="shared" ca="1" si="4"/>
        <v/>
      </c>
      <c r="T9" s="30"/>
      <c r="AB9" s="145"/>
      <c r="AC9" s="80"/>
      <c r="AD9" s="79"/>
      <c r="AE9" s="77"/>
      <c r="AF9" s="77"/>
    </row>
    <row r="10" spans="1:32" ht="15" customHeight="1" x14ac:dyDescent="0.15">
      <c r="A10" s="383"/>
      <c r="B10" s="384"/>
      <c r="C10" s="388"/>
      <c r="D10" s="111">
        <f t="shared" si="5"/>
        <v>8</v>
      </c>
      <c r="E10" s="82">
        <v>19069</v>
      </c>
      <c r="F10" s="87" t="s">
        <v>140</v>
      </c>
      <c r="G10" s="89">
        <v>70</v>
      </c>
      <c r="H10" s="80">
        <v>6</v>
      </c>
      <c r="I10" s="89">
        <f t="shared" ca="1" si="0"/>
        <v>93</v>
      </c>
      <c r="J10" s="89">
        <f t="shared" ca="1" si="0"/>
        <v>80</v>
      </c>
      <c r="K10" s="89"/>
      <c r="L10" s="89"/>
      <c r="M10" s="89"/>
      <c r="N10" s="93"/>
      <c r="O10" s="99">
        <f t="shared" ca="1" si="1"/>
        <v>81.5</v>
      </c>
      <c r="P10" s="100">
        <f t="shared" ca="1" si="2"/>
        <v>86</v>
      </c>
      <c r="Q10" s="101" t="str">
        <f t="shared" ca="1" si="3"/>
        <v>4</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22.862274465809389</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80</v>
      </c>
      <c r="H3" s="139">
        <v>0</v>
      </c>
      <c r="I3" s="89">
        <f t="shared" ref="I3:J10" ca="1" si="0">ROUND(RAND()*100+1,0)</f>
        <v>78</v>
      </c>
      <c r="J3" s="89">
        <f t="shared" ca="1" si="0"/>
        <v>70</v>
      </c>
      <c r="K3" s="89"/>
      <c r="L3" s="89"/>
      <c r="M3" s="89"/>
      <c r="N3" s="93"/>
      <c r="O3" s="99">
        <f t="shared" ref="O3:O52" ca="1" si="1">IF(SUM(G3,I3,,M3)=0,"",AVERAGE(G3,I3,K3,M3))</f>
        <v>79</v>
      </c>
      <c r="P3" s="100">
        <f t="shared" ref="P3:P52" ca="1" si="2">SUM(H3,J3,L3,N3)</f>
        <v>70</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v>45</v>
      </c>
      <c r="H4" s="80">
        <v>6</v>
      </c>
      <c r="I4" s="89">
        <f t="shared" ca="1" si="0"/>
        <v>13</v>
      </c>
      <c r="J4" s="89">
        <f t="shared" ca="1" si="0"/>
        <v>38</v>
      </c>
      <c r="K4" s="89"/>
      <c r="L4" s="89"/>
      <c r="M4" s="89"/>
      <c r="N4" s="93"/>
      <c r="O4" s="99">
        <f t="shared" ca="1" si="1"/>
        <v>29</v>
      </c>
      <c r="P4" s="100">
        <f t="shared" ca="1" si="2"/>
        <v>44</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43</v>
      </c>
      <c r="J5" s="89">
        <f t="shared" ca="1" si="0"/>
        <v>81</v>
      </c>
      <c r="K5" s="89"/>
      <c r="L5" s="89"/>
      <c r="M5" s="89"/>
      <c r="N5" s="93"/>
      <c r="O5" s="99">
        <f t="shared" ca="1" si="1"/>
        <v>43</v>
      </c>
      <c r="P5" s="100">
        <f t="shared" ca="1" si="2"/>
        <v>81</v>
      </c>
      <c r="Q5" s="101" t="str">
        <f t="shared" ca="1" si="3"/>
        <v>1</v>
      </c>
      <c r="R5" s="147" t="str">
        <f t="shared" ca="1" si="4"/>
        <v>再試験</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37</v>
      </c>
      <c r="J6" s="89">
        <f t="shared" ca="1" si="0"/>
        <v>69</v>
      </c>
      <c r="K6" s="89"/>
      <c r="L6" s="89"/>
      <c r="M6" s="89"/>
      <c r="N6" s="93"/>
      <c r="O6" s="99">
        <f t="shared" ca="1" si="1"/>
        <v>37</v>
      </c>
      <c r="P6" s="100">
        <f t="shared" ca="1" si="2"/>
        <v>69</v>
      </c>
      <c r="Q6" s="101" t="str">
        <f t="shared" ca="1" si="3"/>
        <v>1</v>
      </c>
      <c r="R6" s="147" t="str">
        <f t="shared" ca="1" si="4"/>
        <v>再試験</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16</v>
      </c>
      <c r="J7" s="89">
        <f t="shared" ca="1" si="0"/>
        <v>45</v>
      </c>
      <c r="K7" s="89"/>
      <c r="L7" s="89"/>
      <c r="M7" s="89"/>
      <c r="N7" s="93"/>
      <c r="O7" s="99">
        <f t="shared" ca="1" si="1"/>
        <v>16</v>
      </c>
      <c r="P7" s="100">
        <f t="shared" ca="1" si="2"/>
        <v>45</v>
      </c>
      <c r="Q7" s="101" t="str">
        <f t="shared" ca="1" si="3"/>
        <v>1</v>
      </c>
      <c r="R7" s="147" t="str">
        <f t="shared" ca="1" si="4"/>
        <v>再試験</v>
      </c>
      <c r="U7" s="30" t="s">
        <v>70</v>
      </c>
      <c r="AB7" s="145"/>
      <c r="AC7" s="80"/>
      <c r="AD7" s="79"/>
      <c r="AE7" s="77"/>
      <c r="AF7" s="77"/>
    </row>
    <row r="8" spans="1:32" ht="15" customHeight="1" x14ac:dyDescent="0.15">
      <c r="A8" s="383" t="s">
        <v>92</v>
      </c>
      <c r="B8" s="384"/>
      <c r="C8" s="387" t="str">
        <f ca="1">RIGHT(CELL("filename",A1),LEN(CELL("filename",A1))-FIND("]",CELL("filename",A1)))</f>
        <v>RPA演習</v>
      </c>
      <c r="D8" s="111">
        <f t="shared" si="5"/>
        <v>6</v>
      </c>
      <c r="E8" s="82">
        <v>19052</v>
      </c>
      <c r="F8" s="87" t="s">
        <v>138</v>
      </c>
      <c r="G8" s="89"/>
      <c r="H8" s="80"/>
      <c r="I8" s="89">
        <f t="shared" ca="1" si="0"/>
        <v>14</v>
      </c>
      <c r="J8" s="89">
        <f t="shared" ca="1" si="0"/>
        <v>81</v>
      </c>
      <c r="K8" s="89"/>
      <c r="L8" s="89"/>
      <c r="M8" s="89"/>
      <c r="N8" s="93"/>
      <c r="O8" s="99">
        <f t="shared" ca="1" si="1"/>
        <v>14</v>
      </c>
      <c r="P8" s="100">
        <f t="shared" ca="1" si="2"/>
        <v>81</v>
      </c>
      <c r="Q8" s="101" t="str">
        <f t="shared" ca="1" si="3"/>
        <v>1</v>
      </c>
      <c r="R8" s="147" t="str">
        <f t="shared" ca="1" si="4"/>
        <v>再試験</v>
      </c>
      <c r="T8" s="30"/>
      <c r="U8" s="30" t="s">
        <v>72</v>
      </c>
    </row>
    <row r="9" spans="1:32" ht="15" customHeight="1" x14ac:dyDescent="0.15">
      <c r="A9" s="383"/>
      <c r="B9" s="384"/>
      <c r="C9" s="388"/>
      <c r="D9" s="111">
        <f t="shared" si="5"/>
        <v>7</v>
      </c>
      <c r="E9" s="82">
        <v>19059</v>
      </c>
      <c r="F9" s="87" t="s">
        <v>139</v>
      </c>
      <c r="G9" s="89">
        <v>60</v>
      </c>
      <c r="H9" s="80">
        <v>0</v>
      </c>
      <c r="I9" s="89">
        <f t="shared" ca="1" si="0"/>
        <v>16</v>
      </c>
      <c r="J9" s="89">
        <f t="shared" ca="1" si="0"/>
        <v>39</v>
      </c>
      <c r="K9" s="89"/>
      <c r="L9" s="89"/>
      <c r="M9" s="89"/>
      <c r="N9" s="93"/>
      <c r="O9" s="99">
        <f t="shared" ca="1" si="1"/>
        <v>38</v>
      </c>
      <c r="P9" s="100">
        <f t="shared" ca="1" si="2"/>
        <v>39</v>
      </c>
      <c r="Q9" s="101" t="str">
        <f t="shared" ca="1" si="3"/>
        <v>1</v>
      </c>
      <c r="R9" s="147" t="str">
        <f t="shared" ca="1" si="4"/>
        <v>再試験</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52</v>
      </c>
      <c r="J10" s="89">
        <f t="shared" ca="1" si="0"/>
        <v>56</v>
      </c>
      <c r="K10" s="89"/>
      <c r="L10" s="89"/>
      <c r="M10" s="89"/>
      <c r="N10" s="93"/>
      <c r="O10" s="99">
        <f t="shared" ca="1" si="1"/>
        <v>52</v>
      </c>
      <c r="P10" s="100">
        <f t="shared" ca="1" si="2"/>
        <v>56</v>
      </c>
      <c r="Q10" s="101" t="str">
        <f t="shared" ca="1" si="3"/>
        <v>3</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19.5</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v>0</v>
      </c>
      <c r="I3" s="89">
        <f t="shared" ref="I3:J10" ca="1" si="0">ROUND(RAND()*100+1,0)</f>
        <v>82</v>
      </c>
      <c r="J3" s="89">
        <f t="shared" ca="1" si="0"/>
        <v>55</v>
      </c>
      <c r="K3" s="89"/>
      <c r="L3" s="89"/>
      <c r="M3" s="89"/>
      <c r="N3" s="93"/>
      <c r="O3" s="99">
        <f t="shared" ref="O3:O52" ca="1" si="1">IF(SUM(G3,I3,,M3)=0,"",AVERAGE(G3,I3,K3,M3))</f>
        <v>82</v>
      </c>
      <c r="P3" s="100">
        <f t="shared" ref="P3:P52" ca="1" si="2">SUM(H3,J3,L3,N3)</f>
        <v>55</v>
      </c>
      <c r="Q3" s="101" t="str">
        <f t="shared" ref="Q3:Q52" ca="1" si="3">IF(O3="","",IF(O3&gt;=85,"5",IF(O3&gt;=70,"4",IF(O3&gt;=45,"3",IF(O3&gt;=44,"2","1")))))</f>
        <v>4</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c r="H4" s="80">
        <v>0</v>
      </c>
      <c r="I4" s="89">
        <f t="shared" ca="1" si="0"/>
        <v>59</v>
      </c>
      <c r="J4" s="89">
        <f t="shared" ca="1" si="0"/>
        <v>64</v>
      </c>
      <c r="K4" s="89"/>
      <c r="L4" s="89"/>
      <c r="M4" s="89"/>
      <c r="N4" s="93"/>
      <c r="O4" s="99">
        <f t="shared" ca="1" si="1"/>
        <v>59</v>
      </c>
      <c r="P4" s="100">
        <f t="shared" ca="1" si="2"/>
        <v>64</v>
      </c>
      <c r="Q4" s="101" t="str">
        <f t="shared" ca="1" si="3"/>
        <v>3</v>
      </c>
      <c r="R4" s="147" t="str">
        <f t="shared" ca="1" si="4"/>
        <v>補習</v>
      </c>
      <c r="T4" s="30" t="s">
        <v>64</v>
      </c>
      <c r="AB4" s="145"/>
      <c r="AC4" s="80"/>
      <c r="AD4" s="79"/>
      <c r="AE4" s="77"/>
      <c r="AF4" s="77"/>
    </row>
    <row r="5" spans="1:32" ht="15" customHeight="1" x14ac:dyDescent="0.15">
      <c r="A5" s="383"/>
      <c r="B5" s="384"/>
      <c r="C5" s="388"/>
      <c r="D5" s="111">
        <f t="shared" si="5"/>
        <v>3</v>
      </c>
      <c r="E5" s="82">
        <v>19028</v>
      </c>
      <c r="F5" s="87" t="s">
        <v>135</v>
      </c>
      <c r="G5" s="89"/>
      <c r="H5" s="80">
        <v>0</v>
      </c>
      <c r="I5" s="89">
        <f t="shared" ca="1" si="0"/>
        <v>27</v>
      </c>
      <c r="J5" s="89">
        <f t="shared" ca="1" si="0"/>
        <v>77</v>
      </c>
      <c r="K5" s="89"/>
      <c r="L5" s="89"/>
      <c r="M5" s="89"/>
      <c r="N5" s="93"/>
      <c r="O5" s="99">
        <f t="shared" ca="1" si="1"/>
        <v>27</v>
      </c>
      <c r="P5" s="100">
        <f t="shared" ca="1" si="2"/>
        <v>77</v>
      </c>
      <c r="Q5" s="101" t="str">
        <f t="shared" ca="1" si="3"/>
        <v>1</v>
      </c>
      <c r="R5" s="147" t="str">
        <f t="shared" ca="1" si="4"/>
        <v>再試験</v>
      </c>
      <c r="T5" s="30" t="s">
        <v>65</v>
      </c>
      <c r="AB5" s="145"/>
      <c r="AC5" s="80"/>
      <c r="AD5" s="79"/>
      <c r="AE5" s="77"/>
      <c r="AF5" s="77"/>
    </row>
    <row r="6" spans="1:32" ht="15" customHeight="1" x14ac:dyDescent="0.15">
      <c r="A6" s="383"/>
      <c r="B6" s="384"/>
      <c r="C6" s="388"/>
      <c r="D6" s="111">
        <f t="shared" si="5"/>
        <v>4</v>
      </c>
      <c r="E6" s="82">
        <v>19038</v>
      </c>
      <c r="F6" s="87" t="s">
        <v>136</v>
      </c>
      <c r="G6" s="89"/>
      <c r="H6" s="80">
        <v>0</v>
      </c>
      <c r="I6" s="89">
        <f t="shared" ca="1" si="0"/>
        <v>44</v>
      </c>
      <c r="J6" s="89">
        <f t="shared" ca="1" si="0"/>
        <v>74</v>
      </c>
      <c r="K6" s="89"/>
      <c r="L6" s="89"/>
      <c r="M6" s="89"/>
      <c r="N6" s="93"/>
      <c r="O6" s="99">
        <f t="shared" ca="1" si="1"/>
        <v>44</v>
      </c>
      <c r="P6" s="100">
        <f t="shared" ca="1" si="2"/>
        <v>74</v>
      </c>
      <c r="Q6" s="101" t="str">
        <f t="shared" ca="1" si="3"/>
        <v>2</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c r="H7" s="80">
        <v>2</v>
      </c>
      <c r="I7" s="89">
        <f t="shared" ca="1" si="0"/>
        <v>58</v>
      </c>
      <c r="J7" s="89">
        <f t="shared" ca="1" si="0"/>
        <v>53</v>
      </c>
      <c r="K7" s="89"/>
      <c r="L7" s="89"/>
      <c r="M7" s="89"/>
      <c r="N7" s="93"/>
      <c r="O7" s="99">
        <f t="shared" ca="1" si="1"/>
        <v>58</v>
      </c>
      <c r="P7" s="100">
        <f t="shared" ca="1" si="2"/>
        <v>55</v>
      </c>
      <c r="Q7" s="101" t="str">
        <f t="shared" ca="1" si="3"/>
        <v>3</v>
      </c>
      <c r="R7" s="147" t="str">
        <f t="shared" ca="1" si="4"/>
        <v>補習</v>
      </c>
      <c r="U7" s="30" t="s">
        <v>70</v>
      </c>
      <c r="AB7" s="145"/>
      <c r="AC7" s="80"/>
      <c r="AD7" s="79"/>
      <c r="AE7" s="77"/>
      <c r="AF7" s="77"/>
    </row>
    <row r="8" spans="1:32" ht="15" customHeight="1" x14ac:dyDescent="0.15">
      <c r="A8" s="383" t="s">
        <v>92</v>
      </c>
      <c r="B8" s="384"/>
      <c r="C8" s="387" t="str">
        <f ca="1">RIGHT(CELL("filename",A1),LEN(CELL("filename",A1))-FIND("]",CELL("filename",A1)))</f>
        <v>キャリアプラン</v>
      </c>
      <c r="D8" s="111">
        <f t="shared" si="5"/>
        <v>6</v>
      </c>
      <c r="E8" s="82">
        <v>19052</v>
      </c>
      <c r="F8" s="87" t="s">
        <v>138</v>
      </c>
      <c r="G8" s="89"/>
      <c r="H8" s="80">
        <v>8</v>
      </c>
      <c r="I8" s="89">
        <f t="shared" ca="1" si="0"/>
        <v>42</v>
      </c>
      <c r="J8" s="89">
        <f t="shared" ca="1" si="0"/>
        <v>71</v>
      </c>
      <c r="K8" s="89"/>
      <c r="L8" s="89"/>
      <c r="M8" s="89"/>
      <c r="N8" s="93"/>
      <c r="O8" s="99">
        <f t="shared" ca="1" si="1"/>
        <v>42</v>
      </c>
      <c r="P8" s="100">
        <f t="shared" ca="1" si="2"/>
        <v>79</v>
      </c>
      <c r="Q8" s="101" t="str">
        <f t="shared" ca="1" si="3"/>
        <v>1</v>
      </c>
      <c r="R8" s="147" t="str">
        <f t="shared" ca="1" si="4"/>
        <v>再試験</v>
      </c>
      <c r="T8" s="30"/>
      <c r="U8" s="30" t="s">
        <v>72</v>
      </c>
    </row>
    <row r="9" spans="1:32" ht="15" customHeight="1" x14ac:dyDescent="0.15">
      <c r="A9" s="383"/>
      <c r="B9" s="384"/>
      <c r="C9" s="388"/>
      <c r="D9" s="111">
        <f t="shared" si="5"/>
        <v>7</v>
      </c>
      <c r="E9" s="82">
        <v>19059</v>
      </c>
      <c r="F9" s="87" t="s">
        <v>139</v>
      </c>
      <c r="G9" s="89"/>
      <c r="H9" s="80">
        <v>0</v>
      </c>
      <c r="I9" s="89">
        <f t="shared" ca="1" si="0"/>
        <v>73</v>
      </c>
      <c r="J9" s="89">
        <f t="shared" ca="1" si="0"/>
        <v>19</v>
      </c>
      <c r="K9" s="89"/>
      <c r="L9" s="89"/>
      <c r="M9" s="89"/>
      <c r="N9" s="93"/>
      <c r="O9" s="99">
        <f t="shared" ca="1" si="1"/>
        <v>73</v>
      </c>
      <c r="P9" s="100">
        <f t="shared" ca="1" si="2"/>
        <v>19</v>
      </c>
      <c r="Q9" s="101" t="str">
        <f t="shared" ca="1" si="3"/>
        <v>4</v>
      </c>
      <c r="R9" s="147" t="str">
        <f t="shared" ca="1" si="4"/>
        <v>補習</v>
      </c>
      <c r="T9" s="30"/>
      <c r="AB9" s="145"/>
      <c r="AC9" s="80"/>
      <c r="AD9" s="79"/>
      <c r="AE9" s="77"/>
      <c r="AF9" s="77"/>
    </row>
    <row r="10" spans="1:32" ht="15" customHeight="1" x14ac:dyDescent="0.15">
      <c r="A10" s="383"/>
      <c r="B10" s="384"/>
      <c r="C10" s="388"/>
      <c r="D10" s="111">
        <f t="shared" si="5"/>
        <v>8</v>
      </c>
      <c r="E10" s="82">
        <v>19069</v>
      </c>
      <c r="F10" s="87" t="s">
        <v>140</v>
      </c>
      <c r="G10" s="89"/>
      <c r="H10" s="80">
        <v>2</v>
      </c>
      <c r="I10" s="89">
        <f t="shared" ca="1" si="0"/>
        <v>56</v>
      </c>
      <c r="J10" s="89">
        <f t="shared" ca="1" si="0"/>
        <v>22</v>
      </c>
      <c r="K10" s="89"/>
      <c r="L10" s="89"/>
      <c r="M10" s="89"/>
      <c r="N10" s="93"/>
      <c r="O10" s="99">
        <f t="shared" ca="1" si="1"/>
        <v>56</v>
      </c>
      <c r="P10" s="100">
        <f t="shared" ca="1" si="2"/>
        <v>24</v>
      </c>
      <c r="Q10" s="101" t="str">
        <f t="shared" ca="1" si="3"/>
        <v>3</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23</v>
      </c>
      <c r="J3" s="89">
        <f t="shared" ca="1" si="0"/>
        <v>46</v>
      </c>
      <c r="K3" s="89"/>
      <c r="L3" s="89"/>
      <c r="M3" s="89"/>
      <c r="N3" s="93"/>
      <c r="O3" s="99">
        <f t="shared" ref="O3:O52" ca="1" si="1">IF(SUM(G3,I3,,M3)=0,"",AVERAGE(G3,I3,K3,M3))</f>
        <v>23</v>
      </c>
      <c r="P3" s="100">
        <f t="shared" ref="P3:P52" ca="1" si="2">SUM(H3,J3,L3,N3)</f>
        <v>46</v>
      </c>
      <c r="Q3" s="101" t="str">
        <f t="shared" ref="Q3:Q52" ca="1" si="3">IF(O3="","",IF(O3&gt;=85,"5",IF(O3&gt;=70,"4",IF(O3&gt;=45,"3",IF(O3&gt;=44,"2","1")))))</f>
        <v>1</v>
      </c>
      <c r="R3" s="165" t="str">
        <f t="shared" ref="R3:R52" ca="1" si="4">IF(O3&lt;44,"再試験",IF(P3&gt;$D$63,"補習",""))</f>
        <v>再試験</v>
      </c>
      <c r="T3" s="30" t="s">
        <v>96</v>
      </c>
      <c r="AB3" s="160"/>
      <c r="AC3" s="80"/>
      <c r="AD3" s="79"/>
      <c r="AE3" s="77"/>
      <c r="AF3" s="77"/>
    </row>
    <row r="4" spans="1:32" ht="15" customHeight="1" x14ac:dyDescent="0.15">
      <c r="A4" s="383"/>
      <c r="B4" s="384"/>
      <c r="C4" s="388"/>
      <c r="D4" s="111">
        <f t="shared" ref="D4:D52" si="5">D3+1</f>
        <v>2</v>
      </c>
      <c r="E4" s="82">
        <v>19023</v>
      </c>
      <c r="F4" s="87" t="s">
        <v>134</v>
      </c>
      <c r="G4" s="89"/>
      <c r="H4" s="80"/>
      <c r="I4" s="89">
        <f t="shared" ca="1" si="0"/>
        <v>21</v>
      </c>
      <c r="J4" s="89">
        <f t="shared" ca="1" si="0"/>
        <v>73</v>
      </c>
      <c r="K4" s="89"/>
      <c r="L4" s="89"/>
      <c r="M4" s="89"/>
      <c r="N4" s="93"/>
      <c r="O4" s="99">
        <f t="shared" ca="1" si="1"/>
        <v>21</v>
      </c>
      <c r="P4" s="100">
        <f t="shared" ca="1" si="2"/>
        <v>73</v>
      </c>
      <c r="Q4" s="101" t="str">
        <f t="shared" ca="1" si="3"/>
        <v>1</v>
      </c>
      <c r="R4" s="165" t="str">
        <f t="shared" ca="1" si="4"/>
        <v>再試験</v>
      </c>
      <c r="T4" s="30" t="s">
        <v>64</v>
      </c>
      <c r="AB4" s="160"/>
      <c r="AC4" s="80"/>
      <c r="AD4" s="79"/>
      <c r="AE4" s="77"/>
      <c r="AF4" s="77"/>
    </row>
    <row r="5" spans="1:32" ht="15" customHeight="1" x14ac:dyDescent="0.15">
      <c r="A5" s="383"/>
      <c r="B5" s="384"/>
      <c r="C5" s="388"/>
      <c r="D5" s="111">
        <f t="shared" si="5"/>
        <v>3</v>
      </c>
      <c r="E5" s="82">
        <v>19028</v>
      </c>
      <c r="F5" s="87" t="s">
        <v>135</v>
      </c>
      <c r="G5" s="89"/>
      <c r="H5" s="80"/>
      <c r="I5" s="89">
        <f t="shared" ca="1" si="0"/>
        <v>13</v>
      </c>
      <c r="J5" s="89">
        <f t="shared" ca="1" si="0"/>
        <v>13</v>
      </c>
      <c r="K5" s="89"/>
      <c r="L5" s="89"/>
      <c r="M5" s="89"/>
      <c r="N5" s="93"/>
      <c r="O5" s="99">
        <f t="shared" ca="1" si="1"/>
        <v>13</v>
      </c>
      <c r="P5" s="100">
        <f t="shared" ca="1" si="2"/>
        <v>13</v>
      </c>
      <c r="Q5" s="101" t="str">
        <f t="shared" ca="1" si="3"/>
        <v>1</v>
      </c>
      <c r="R5" s="165" t="str">
        <f t="shared" ca="1" si="4"/>
        <v>再試験</v>
      </c>
      <c r="T5" s="30" t="s">
        <v>65</v>
      </c>
      <c r="AB5" s="160"/>
      <c r="AC5" s="80"/>
      <c r="AD5" s="79"/>
      <c r="AE5" s="77"/>
      <c r="AF5" s="77"/>
    </row>
    <row r="6" spans="1:32" ht="15" customHeight="1" x14ac:dyDescent="0.15">
      <c r="A6" s="383"/>
      <c r="B6" s="384"/>
      <c r="C6" s="388"/>
      <c r="D6" s="111">
        <f t="shared" si="5"/>
        <v>4</v>
      </c>
      <c r="E6" s="82">
        <v>19038</v>
      </c>
      <c r="F6" s="87" t="s">
        <v>136</v>
      </c>
      <c r="G6" s="89"/>
      <c r="H6" s="80"/>
      <c r="I6" s="89">
        <f t="shared" ca="1" si="0"/>
        <v>17</v>
      </c>
      <c r="J6" s="89">
        <f t="shared" ca="1" si="0"/>
        <v>95</v>
      </c>
      <c r="K6" s="89"/>
      <c r="L6" s="89"/>
      <c r="M6" s="89"/>
      <c r="N6" s="93"/>
      <c r="O6" s="99">
        <f t="shared" ca="1" si="1"/>
        <v>17</v>
      </c>
      <c r="P6" s="100">
        <f t="shared" ca="1" si="2"/>
        <v>95</v>
      </c>
      <c r="Q6" s="101" t="str">
        <f t="shared" ca="1" si="3"/>
        <v>1</v>
      </c>
      <c r="R6" s="165" t="str">
        <f t="shared" ca="1" si="4"/>
        <v>再試験</v>
      </c>
      <c r="T6" s="30" t="s">
        <v>66</v>
      </c>
      <c r="AB6" s="160"/>
      <c r="AC6" s="80"/>
      <c r="AD6" s="79"/>
      <c r="AE6" s="77"/>
      <c r="AF6" s="77"/>
    </row>
    <row r="7" spans="1:32" ht="15" customHeight="1" x14ac:dyDescent="0.15">
      <c r="A7" s="385"/>
      <c r="B7" s="386"/>
      <c r="C7" s="389"/>
      <c r="D7" s="111">
        <f t="shared" si="5"/>
        <v>5</v>
      </c>
      <c r="E7" s="82">
        <v>19041</v>
      </c>
      <c r="F7" s="87" t="s">
        <v>137</v>
      </c>
      <c r="G7" s="89"/>
      <c r="H7" s="80"/>
      <c r="I7" s="89">
        <f t="shared" ca="1" si="0"/>
        <v>61</v>
      </c>
      <c r="J7" s="89">
        <f t="shared" ca="1" si="0"/>
        <v>83</v>
      </c>
      <c r="K7" s="89"/>
      <c r="L7" s="89"/>
      <c r="M7" s="89"/>
      <c r="N7" s="93"/>
      <c r="O7" s="99">
        <f t="shared" ca="1" si="1"/>
        <v>61</v>
      </c>
      <c r="P7" s="100">
        <f t="shared" ca="1" si="2"/>
        <v>83</v>
      </c>
      <c r="Q7" s="101" t="str">
        <f t="shared" ca="1" si="3"/>
        <v>3</v>
      </c>
      <c r="R7" s="165" t="str">
        <f t="shared" ca="1" si="4"/>
        <v>補習</v>
      </c>
      <c r="U7" s="30" t="s">
        <v>70</v>
      </c>
      <c r="AB7" s="160"/>
      <c r="AC7" s="80"/>
      <c r="AD7" s="79"/>
      <c r="AE7" s="77"/>
      <c r="AF7" s="77"/>
    </row>
    <row r="8" spans="1:32" ht="15" customHeight="1" x14ac:dyDescent="0.15">
      <c r="A8" s="383" t="s">
        <v>92</v>
      </c>
      <c r="B8" s="384"/>
      <c r="C8" s="387" t="str">
        <f ca="1">RIGHT(CELL("filename",A1),LEN(CELL("filename",A1))-FIND("]",CELL("filename",A1)))</f>
        <v>ITP（マネージメント）</v>
      </c>
      <c r="D8" s="111">
        <f t="shared" si="5"/>
        <v>6</v>
      </c>
      <c r="E8" s="82">
        <v>19052</v>
      </c>
      <c r="F8" s="87" t="s">
        <v>138</v>
      </c>
      <c r="G8" s="89"/>
      <c r="H8" s="80"/>
      <c r="I8" s="89">
        <f t="shared" ca="1" si="0"/>
        <v>95</v>
      </c>
      <c r="J8" s="89">
        <f t="shared" ca="1" si="0"/>
        <v>61</v>
      </c>
      <c r="K8" s="89"/>
      <c r="L8" s="89"/>
      <c r="M8" s="89"/>
      <c r="N8" s="93"/>
      <c r="O8" s="99">
        <f t="shared" ca="1" si="1"/>
        <v>95</v>
      </c>
      <c r="P8" s="100">
        <f t="shared" ca="1" si="2"/>
        <v>61</v>
      </c>
      <c r="Q8" s="101" t="str">
        <f t="shared" ca="1" si="3"/>
        <v>5</v>
      </c>
      <c r="R8" s="165" t="str">
        <f t="shared" ca="1" si="4"/>
        <v>補習</v>
      </c>
      <c r="T8" s="30"/>
      <c r="U8" s="30" t="s">
        <v>72</v>
      </c>
    </row>
    <row r="9" spans="1:32" ht="15" customHeight="1" x14ac:dyDescent="0.15">
      <c r="A9" s="383"/>
      <c r="B9" s="384"/>
      <c r="C9" s="388"/>
      <c r="D9" s="111">
        <f t="shared" si="5"/>
        <v>7</v>
      </c>
      <c r="E9" s="82">
        <v>19059</v>
      </c>
      <c r="F9" s="87" t="s">
        <v>139</v>
      </c>
      <c r="G9" s="89"/>
      <c r="H9" s="80"/>
      <c r="I9" s="89">
        <f t="shared" ca="1" si="0"/>
        <v>82</v>
      </c>
      <c r="J9" s="89">
        <f t="shared" ca="1" si="0"/>
        <v>16</v>
      </c>
      <c r="K9" s="89"/>
      <c r="L9" s="89"/>
      <c r="M9" s="89"/>
      <c r="N9" s="93"/>
      <c r="O9" s="99">
        <f t="shared" ca="1" si="1"/>
        <v>82</v>
      </c>
      <c r="P9" s="100">
        <f t="shared" ca="1" si="2"/>
        <v>16</v>
      </c>
      <c r="Q9" s="101" t="str">
        <f t="shared" ca="1" si="3"/>
        <v>4</v>
      </c>
      <c r="R9" s="165" t="str">
        <f t="shared" ca="1" si="4"/>
        <v>補習</v>
      </c>
      <c r="T9" s="30"/>
      <c r="AB9" s="160"/>
      <c r="AC9" s="80"/>
      <c r="AD9" s="79"/>
      <c r="AE9" s="77"/>
      <c r="AF9" s="77"/>
    </row>
    <row r="10" spans="1:32" ht="15" customHeight="1" x14ac:dyDescent="0.15">
      <c r="A10" s="383"/>
      <c r="B10" s="384"/>
      <c r="C10" s="388"/>
      <c r="D10" s="111">
        <f t="shared" si="5"/>
        <v>8</v>
      </c>
      <c r="E10" s="82">
        <v>19069</v>
      </c>
      <c r="F10" s="87" t="s">
        <v>140</v>
      </c>
      <c r="G10" s="89"/>
      <c r="H10" s="80"/>
      <c r="I10" s="89">
        <f t="shared" ca="1" si="0"/>
        <v>45</v>
      </c>
      <c r="J10" s="89">
        <f t="shared" ca="1" si="0"/>
        <v>23</v>
      </c>
      <c r="K10" s="89"/>
      <c r="L10" s="89"/>
      <c r="M10" s="89"/>
      <c r="N10" s="93"/>
      <c r="O10" s="99">
        <f t="shared" ca="1" si="1"/>
        <v>45</v>
      </c>
      <c r="P10" s="100">
        <f t="shared" ca="1" si="2"/>
        <v>23</v>
      </c>
      <c r="Q10" s="101" t="str">
        <f t="shared" ca="1" si="3"/>
        <v>3</v>
      </c>
      <c r="R10" s="165" t="str">
        <f t="shared" ca="1" si="4"/>
        <v>補習</v>
      </c>
      <c r="T10" s="30"/>
      <c r="U10" s="30" t="s">
        <v>71</v>
      </c>
      <c r="AB10" s="160"/>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96" t="s">
        <v>20</v>
      </c>
      <c r="B18" s="397"/>
      <c r="C18" s="429">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96" t="s">
        <v>91</v>
      </c>
      <c r="B23" s="397"/>
      <c r="C23" s="405"/>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400"/>
      <c r="B42" s="401"/>
      <c r="C42" s="391"/>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381" t="s">
        <v>21</v>
      </c>
      <c r="B43" s="402"/>
      <c r="C43" s="405"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3"/>
      <c r="B44" s="403"/>
      <c r="C44" s="406"/>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3"/>
      <c r="B45" s="403"/>
      <c r="C45" s="406"/>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3"/>
      <c r="B46" s="403"/>
      <c r="C46" s="406"/>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3"/>
      <c r="B47" s="403"/>
      <c r="C47" s="406"/>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3"/>
      <c r="B48" s="403"/>
      <c r="C48" s="406"/>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5"/>
      <c r="B49" s="404"/>
      <c r="C49" s="391"/>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07" t="s">
        <v>24</v>
      </c>
      <c r="B50" s="408"/>
      <c r="C50" s="406"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07"/>
      <c r="B51" s="408"/>
      <c r="C51" s="406"/>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07"/>
      <c r="B52" s="408"/>
      <c r="C52" s="406"/>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3"/>
      <c r="B4" s="384"/>
      <c r="C4" s="388"/>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3"/>
      <c r="B5" s="384"/>
      <c r="C5" s="388"/>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3"/>
      <c r="B6" s="384"/>
      <c r="C6" s="388"/>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5"/>
      <c r="B7" s="386"/>
      <c r="C7" s="389"/>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3" t="s">
        <v>92</v>
      </c>
      <c r="B8" s="384"/>
      <c r="C8" s="387"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3"/>
      <c r="B9" s="384"/>
      <c r="C9" s="388"/>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3"/>
      <c r="B10" s="384"/>
      <c r="C10" s="388"/>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96" t="s">
        <v>20</v>
      </c>
      <c r="B18" s="397"/>
      <c r="C18" s="429">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96" t="s">
        <v>91</v>
      </c>
      <c r="B23" s="397"/>
      <c r="C23" s="405"/>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96" t="s">
        <v>93</v>
      </c>
      <c r="B28" s="397"/>
      <c r="C28" s="405">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400"/>
      <c r="B42" s="401"/>
      <c r="C42" s="391"/>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381" t="s">
        <v>21</v>
      </c>
      <c r="B43" s="402"/>
      <c r="C43" s="405"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3"/>
      <c r="B44" s="403"/>
      <c r="C44" s="406"/>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3"/>
      <c r="B45" s="403"/>
      <c r="C45" s="406"/>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3"/>
      <c r="B46" s="403"/>
      <c r="C46" s="406"/>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3"/>
      <c r="B47" s="403"/>
      <c r="C47" s="406"/>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3"/>
      <c r="B48" s="403"/>
      <c r="C48" s="406"/>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5"/>
      <c r="B49" s="404"/>
      <c r="C49" s="391"/>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07" t="s">
        <v>24</v>
      </c>
      <c r="B50" s="408"/>
      <c r="C50" s="406"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07"/>
      <c r="B51" s="408"/>
      <c r="C51" s="406"/>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07"/>
      <c r="B52" s="408"/>
      <c r="C52" s="406"/>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植田</cp:lastModifiedBy>
  <cp:lastPrinted>2014-07-10T07:12:52Z</cp:lastPrinted>
  <dcterms:created xsi:type="dcterms:W3CDTF">2009-06-08T02:11:06Z</dcterms:created>
  <dcterms:modified xsi:type="dcterms:W3CDTF">2020-11-10T00:27:58Z</dcterms:modified>
</cp:coreProperties>
</file>